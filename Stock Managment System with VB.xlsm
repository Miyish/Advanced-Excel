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Office App\Advance Excel\1-Feb-2024\"/>
    </mc:Choice>
  </mc:AlternateContent>
  <xr:revisionPtr revIDLastSave="0" documentId="13_ncr:1_{1342D02C-E807-490F-B71E-7FA827B99A72}" xr6:coauthVersionLast="47" xr6:coauthVersionMax="47" xr10:uidLastSave="{00000000-0000-0000-0000-000000000000}"/>
  <bookViews>
    <workbookView minimized="1" xWindow="24" yWindow="24" windowWidth="23016" windowHeight="12336" activeTab="2" xr2:uid="{E8387910-54E5-42F2-92DD-EF39123C8231}"/>
  </bookViews>
  <sheets>
    <sheet name="Dashboard" sheetId="1" r:id="rId1"/>
    <sheet name="Sales_Details" sheetId="2" r:id="rId2"/>
    <sheet name="Purchase_details" sheetId="3" r:id="rId3"/>
    <sheet name="Stock_details" sheetId="4" r:id="rId4"/>
    <sheet name="Settings" sheetId="5" r:id="rId5"/>
  </sheets>
  <definedNames>
    <definedName name="Items">Table1[Items]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3" l="1"/>
  <c r="G16" i="3"/>
  <c r="G15" i="3"/>
  <c r="G13" i="2"/>
  <c r="G12" i="2"/>
  <c r="G14" i="3"/>
  <c r="G13" i="3"/>
  <c r="G11" i="2"/>
  <c r="G10" i="2"/>
  <c r="G9" i="2"/>
  <c r="G12" i="3"/>
  <c r="G8" i="2"/>
  <c r="G7" i="2"/>
  <c r="D5" i="4"/>
  <c r="G11" i="3"/>
  <c r="G10" i="3"/>
  <c r="G9" i="3"/>
  <c r="D8" i="4"/>
  <c r="E8" i="4"/>
  <c r="G4" i="3"/>
  <c r="G5" i="3"/>
  <c r="I2" i="3"/>
  <c r="G4" i="2"/>
  <c r="G5" i="2"/>
  <c r="E4" i="4"/>
  <c r="E5" i="4"/>
  <c r="E6" i="4"/>
  <c r="E7" i="4"/>
  <c r="D4" i="4"/>
  <c r="D6" i="4"/>
  <c r="D7" i="4"/>
  <c r="G6" i="2"/>
  <c r="G6" i="3"/>
  <c r="G7" i="3"/>
  <c r="G8" i="3"/>
  <c r="F8" i="4" l="1"/>
  <c r="F4" i="4"/>
  <c r="F7" i="4"/>
  <c r="F6" i="4"/>
  <c r="F5" i="4"/>
</calcChain>
</file>

<file path=xl/sharedStrings.xml><?xml version="1.0" encoding="utf-8"?>
<sst xmlns="http://schemas.openxmlformats.org/spreadsheetml/2006/main" count="60" uniqueCount="26">
  <si>
    <t>STOCK MANAGEMENT SYSTEM</t>
  </si>
  <si>
    <t>Sales Details</t>
  </si>
  <si>
    <t>Date</t>
  </si>
  <si>
    <t>Items</t>
  </si>
  <si>
    <t>Bill Noo</t>
  </si>
  <si>
    <t>Qty</t>
  </si>
  <si>
    <t>Rate</t>
  </si>
  <si>
    <t>Amount</t>
  </si>
  <si>
    <t>Purchase Details</t>
  </si>
  <si>
    <t>Stock Details</t>
  </si>
  <si>
    <t>Open Stock</t>
  </si>
  <si>
    <t>Pruchase</t>
  </si>
  <si>
    <t>Sales</t>
  </si>
  <si>
    <t>Blance</t>
  </si>
  <si>
    <t>Laptop</t>
  </si>
  <si>
    <t>Keyboard</t>
  </si>
  <si>
    <t>Mouse</t>
  </si>
  <si>
    <t>Monitor</t>
  </si>
  <si>
    <t>Hard Disk</t>
  </si>
  <si>
    <t>20280-11-28</t>
  </si>
  <si>
    <t>Printer</t>
  </si>
  <si>
    <t>HDD</t>
  </si>
  <si>
    <t>45.20.20023</t>
  </si>
  <si>
    <t>20.01.2023</t>
  </si>
  <si>
    <t>20.10.2023</t>
  </si>
  <si>
    <t>20.10.03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</si>
</sst>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Kalimati"/>
      <family val="2"/>
    </font>
    <font>
      <b/>
      <sz val="11"/>
      <color theme="0"/>
      <name val="Arial Black"/>
      <family val="2"/>
    </font>
    <font>
      <sz val="11"/>
      <color theme="0"/>
      <name val="Arial Black"/>
      <family val="2"/>
    </font>
    <font>
      <b/>
      <sz val="11"/>
      <color theme="1"/>
      <name val="Kalimati"/>
      <charset val="1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14" fontId="0" fillId="7" borderId="1" xfId="0" applyNumberFormat="1" applyFill="1" applyBorder="1"/>
    <xf numFmtId="14" fontId="0" fillId="7" borderId="1" xfId="0" applyNumberFormat="1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0" borderId="6" xfId="0" applyBorder="1" applyAlignment="1">
      <alignment horizontal="center"/>
    </xf>
    <xf numFmtId="0" fontId="0" fillId="0" borderId="6" xfId="0" applyNumberFormat="1" applyBorder="1" applyAlignment="1">
      <alignment horizontal="center"/>
    </xf>
    <xf numFmtId="14" fontId="0" fillId="7" borderId="2" xfId="0" applyNumberFormat="1" applyFill="1" applyBorder="1"/>
    <xf numFmtId="0" fontId="0" fillId="0" borderId="3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5" xfId="0" applyNumberFormat="1" applyBorder="1"/>
    <xf numFmtId="14" fontId="0" fillId="0" borderId="0" xfId="0" applyNumberFormat="1"/>
    <xf numFmtId="0" fontId="0" fillId="0" borderId="1" xfId="0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3" fillId="0" borderId="1" xfId="0" applyFont="1" applyBorder="1"/>
    <xf numFmtId="14" fontId="0" fillId="0" borderId="5" xfId="0" applyNumberFormat="1" applyBorder="1"/>
    <xf numFmtId="0" fontId="0" fillId="0" borderId="5" xfId="0" applyFill="1" applyBorder="1" applyAlignment="1">
      <alignment horizontal="center"/>
    </xf>
    <xf numFmtId="0" fontId="0" fillId="8" borderId="1" xfId="0" applyFill="1" applyBorder="1"/>
    <xf numFmtId="0" fontId="0" fillId="0" borderId="10" xfId="0" applyFill="1" applyBorder="1"/>
    <xf numFmtId="0" fontId="0" fillId="7" borderId="1" xfId="0" applyFill="1" applyBorder="1" applyAlignment="1" applyProtection="1">
      <alignment horizontal="center"/>
      <protection locked="0"/>
    </xf>
    <xf numFmtId="0" fontId="0" fillId="7" borderId="1" xfId="0" applyNumberFormat="1" applyFill="1" applyBorder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Stock_details!$B$4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Stock_details!$C$3:$F$3</c:f>
              <c:strCache>
                <c:ptCount val="4"/>
                <c:pt idx="0">
                  <c:v>Open Stock</c:v>
                </c:pt>
                <c:pt idx="1">
                  <c:v>Pruchase</c:v>
                </c:pt>
                <c:pt idx="2">
                  <c:v>Sales</c:v>
                </c:pt>
                <c:pt idx="3">
                  <c:v>Blance</c:v>
                </c:pt>
              </c:strCache>
            </c:strRef>
          </c:cat>
          <c:val>
            <c:numRef>
              <c:f>Stock_details!$C$4:$F$4</c:f>
              <c:numCache>
                <c:formatCode>General</c:formatCode>
                <c:ptCount val="4"/>
                <c:pt idx="0">
                  <c:v>250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0-4C56-A9CF-284899A0F3E1}"/>
            </c:ext>
          </c:extLst>
        </c:ser>
        <c:ser>
          <c:idx val="1"/>
          <c:order val="1"/>
          <c:tx>
            <c:strRef>
              <c:f>Stock_details!$B$5</c:f>
              <c:strCache>
                <c:ptCount val="1"/>
                <c:pt idx="0">
                  <c:v>Keyboard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Stock_details!$C$3:$F$3</c:f>
              <c:strCache>
                <c:ptCount val="4"/>
                <c:pt idx="0">
                  <c:v>Open Stock</c:v>
                </c:pt>
                <c:pt idx="1">
                  <c:v>Pruchase</c:v>
                </c:pt>
                <c:pt idx="2">
                  <c:v>Sales</c:v>
                </c:pt>
                <c:pt idx="3">
                  <c:v>Blance</c:v>
                </c:pt>
              </c:strCache>
            </c:strRef>
          </c:cat>
          <c:val>
            <c:numRef>
              <c:f>Stock_details!$C$5:$F$5</c:f>
              <c:numCache>
                <c:formatCode>General</c:formatCode>
                <c:ptCount val="4"/>
                <c:pt idx="0">
                  <c:v>100</c:v>
                </c:pt>
                <c:pt idx="1">
                  <c:v>431</c:v>
                </c:pt>
                <c:pt idx="2">
                  <c:v>220</c:v>
                </c:pt>
                <c:pt idx="3">
                  <c:v>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20-4C56-A9CF-284899A0F3E1}"/>
            </c:ext>
          </c:extLst>
        </c:ser>
        <c:ser>
          <c:idx val="2"/>
          <c:order val="2"/>
          <c:tx>
            <c:strRef>
              <c:f>Stock_details!$B$6</c:f>
              <c:strCache>
                <c:ptCount val="1"/>
                <c:pt idx="0">
                  <c:v>Mouse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Stock_details!$C$3:$F$3</c:f>
              <c:strCache>
                <c:ptCount val="4"/>
                <c:pt idx="0">
                  <c:v>Open Stock</c:v>
                </c:pt>
                <c:pt idx="1">
                  <c:v>Pruchase</c:v>
                </c:pt>
                <c:pt idx="2">
                  <c:v>Sales</c:v>
                </c:pt>
                <c:pt idx="3">
                  <c:v>Blance</c:v>
                </c:pt>
              </c:strCache>
            </c:strRef>
          </c:cat>
          <c:val>
            <c:numRef>
              <c:f>Stock_details!$C$6:$F$6</c:f>
              <c:numCache>
                <c:formatCode>General</c:formatCode>
                <c:ptCount val="4"/>
                <c:pt idx="0">
                  <c:v>120</c:v>
                </c:pt>
                <c:pt idx="1">
                  <c:v>0</c:v>
                </c:pt>
                <c:pt idx="2">
                  <c:v>100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20-4C56-A9CF-284899A0F3E1}"/>
            </c:ext>
          </c:extLst>
        </c:ser>
        <c:ser>
          <c:idx val="3"/>
          <c:order val="3"/>
          <c:tx>
            <c:strRef>
              <c:f>Stock_details!$B$7</c:f>
              <c:strCache>
                <c:ptCount val="1"/>
                <c:pt idx="0">
                  <c:v>Monitor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Stock_details!$C$3:$F$3</c:f>
              <c:strCache>
                <c:ptCount val="4"/>
                <c:pt idx="0">
                  <c:v>Open Stock</c:v>
                </c:pt>
                <c:pt idx="1">
                  <c:v>Pruchase</c:v>
                </c:pt>
                <c:pt idx="2">
                  <c:v>Sales</c:v>
                </c:pt>
                <c:pt idx="3">
                  <c:v>Blance</c:v>
                </c:pt>
              </c:strCache>
            </c:strRef>
          </c:cat>
          <c:val>
            <c:numRef>
              <c:f>Stock_details!$C$7:$F$7</c:f>
              <c:numCache>
                <c:formatCode>General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20-4C56-A9CF-284899A0F3E1}"/>
            </c:ext>
          </c:extLst>
        </c:ser>
        <c:ser>
          <c:idx val="4"/>
          <c:order val="4"/>
          <c:tx>
            <c:strRef>
              <c:f>Stock_details!$B$8</c:f>
              <c:strCache>
                <c:ptCount val="1"/>
                <c:pt idx="0">
                  <c:v>Hard Disk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Stock_details!$C$3:$F$3</c:f>
              <c:strCache>
                <c:ptCount val="4"/>
                <c:pt idx="0">
                  <c:v>Open Stock</c:v>
                </c:pt>
                <c:pt idx="1">
                  <c:v>Pruchase</c:v>
                </c:pt>
                <c:pt idx="2">
                  <c:v>Sales</c:v>
                </c:pt>
                <c:pt idx="3">
                  <c:v>Blance</c:v>
                </c:pt>
              </c:strCache>
            </c:strRef>
          </c:cat>
          <c:val>
            <c:numRef>
              <c:f>Stock_details!$C$8:$F$8</c:f>
              <c:numCache>
                <c:formatCode>General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20-4C56-A9CF-284899A0F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2607104"/>
        <c:axId val="712607520"/>
        <c:axId val="0"/>
      </c:bar3DChart>
      <c:catAx>
        <c:axId val="71260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07520"/>
        <c:crosses val="autoZero"/>
        <c:auto val="1"/>
        <c:lblAlgn val="ctr"/>
        <c:lblOffset val="100"/>
        <c:noMultiLvlLbl val="0"/>
      </c:catAx>
      <c:valAx>
        <c:axId val="7126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0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hyperlink" Target="#Purchase_details!A1"/><Relationship Id="rId7" Type="http://schemas.openxmlformats.org/officeDocument/2006/relationships/image" Target="../media/image4.png"/><Relationship Id="rId2" Type="http://schemas.openxmlformats.org/officeDocument/2006/relationships/hyperlink" Target="#Salesh_Details!A1"/><Relationship Id="rId1" Type="http://schemas.openxmlformats.org/officeDocument/2006/relationships/hyperlink" Target="#Purchase_entry!A1"/><Relationship Id="rId6" Type="http://schemas.openxmlformats.org/officeDocument/2006/relationships/image" Target="../media/image3.svg"/><Relationship Id="rId11" Type="http://schemas.openxmlformats.org/officeDocument/2006/relationships/chart" Target="../charts/chart1.xml"/><Relationship Id="rId5" Type="http://schemas.openxmlformats.org/officeDocument/2006/relationships/image" Target="../media/image2.png"/><Relationship Id="rId10" Type="http://schemas.openxmlformats.org/officeDocument/2006/relationships/image" Target="../media/image7.svg"/><Relationship Id="rId4" Type="http://schemas.openxmlformats.org/officeDocument/2006/relationships/hyperlink" Target="#Stock_details!A1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5</xdr:row>
      <xdr:rowOff>0</xdr:rowOff>
    </xdr:from>
    <xdr:to>
      <xdr:col>1</xdr:col>
      <xdr:colOff>1356360</xdr:colOff>
      <xdr:row>7</xdr:row>
      <xdr:rowOff>53340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4860" y="1028700"/>
          <a:ext cx="1242060" cy="40386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Purchase</a:t>
          </a:r>
          <a:r>
            <a:rPr lang="en-US" sz="1200" baseline="0"/>
            <a:t> Entry</a:t>
          </a:r>
          <a:endParaRPr lang="en-US" sz="1100"/>
        </a:p>
      </xdr:txBody>
    </xdr:sp>
    <xdr:clientData/>
  </xdr:twoCellAnchor>
  <xdr:twoCellAnchor>
    <xdr:from>
      <xdr:col>1</xdr:col>
      <xdr:colOff>129540</xdr:colOff>
      <xdr:row>7</xdr:row>
      <xdr:rowOff>91440</xdr:rowOff>
    </xdr:from>
    <xdr:to>
      <xdr:col>1</xdr:col>
      <xdr:colOff>1371600</xdr:colOff>
      <xdr:row>9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0100" y="1470660"/>
          <a:ext cx="1242060" cy="40386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Sales</a:t>
          </a:r>
          <a:r>
            <a:rPr lang="en-US" sz="1400" baseline="0"/>
            <a:t> Details</a:t>
          </a:r>
          <a:endParaRPr lang="en-US" sz="1200"/>
        </a:p>
      </xdr:txBody>
    </xdr:sp>
    <xdr:clientData/>
  </xdr:twoCellAnchor>
  <xdr:twoCellAnchor>
    <xdr:from>
      <xdr:col>1</xdr:col>
      <xdr:colOff>144780</xdr:colOff>
      <xdr:row>10</xdr:row>
      <xdr:rowOff>7620</xdr:rowOff>
    </xdr:from>
    <xdr:to>
      <xdr:col>1</xdr:col>
      <xdr:colOff>1386840</xdr:colOff>
      <xdr:row>12</xdr:row>
      <xdr:rowOff>60960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15340" y="1912620"/>
          <a:ext cx="1242060" cy="40386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Purchase</a:t>
          </a:r>
          <a:r>
            <a:rPr lang="en-US" sz="1100" baseline="0"/>
            <a:t> Details</a:t>
          </a:r>
          <a:endParaRPr lang="en-US" sz="1050"/>
        </a:p>
      </xdr:txBody>
    </xdr:sp>
    <xdr:clientData/>
  </xdr:twoCellAnchor>
  <xdr:twoCellAnchor>
    <xdr:from>
      <xdr:col>1</xdr:col>
      <xdr:colOff>152400</xdr:colOff>
      <xdr:row>12</xdr:row>
      <xdr:rowOff>114300</xdr:rowOff>
    </xdr:from>
    <xdr:to>
      <xdr:col>1</xdr:col>
      <xdr:colOff>1394460</xdr:colOff>
      <xdr:row>14</xdr:row>
      <xdr:rowOff>167640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2960" y="2369820"/>
          <a:ext cx="1242060" cy="40386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Stock Details</a:t>
          </a:r>
          <a:endParaRPr lang="en-US" sz="1050"/>
        </a:p>
      </xdr:txBody>
    </xdr:sp>
    <xdr:clientData/>
  </xdr:twoCellAnchor>
  <xdr:twoCellAnchor>
    <xdr:from>
      <xdr:col>2</xdr:col>
      <xdr:colOff>106680</xdr:colOff>
      <xdr:row>1</xdr:row>
      <xdr:rowOff>53340</xdr:rowOff>
    </xdr:from>
    <xdr:to>
      <xdr:col>5</xdr:col>
      <xdr:colOff>441960</xdr:colOff>
      <xdr:row>6</xdr:row>
      <xdr:rowOff>15240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354580" y="381000"/>
          <a:ext cx="2346960" cy="838200"/>
          <a:chOff x="2354580" y="381000"/>
          <a:chExt cx="2903220" cy="8382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354580" y="381000"/>
            <a:ext cx="2857500" cy="784860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2400300" y="434340"/>
            <a:ext cx="2857500" cy="78486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548640</xdr:colOff>
      <xdr:row>1</xdr:row>
      <xdr:rowOff>45720</xdr:rowOff>
    </xdr:from>
    <xdr:to>
      <xdr:col>9</xdr:col>
      <xdr:colOff>167640</xdr:colOff>
      <xdr:row>6</xdr:row>
      <xdr:rowOff>7620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4808220" y="373380"/>
          <a:ext cx="2301240" cy="838200"/>
          <a:chOff x="5417820" y="381000"/>
          <a:chExt cx="2903220" cy="8382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417820" y="381000"/>
            <a:ext cx="2857500" cy="784860"/>
          </a:xfrm>
          <a:prstGeom prst="round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5463540" y="434340"/>
            <a:ext cx="2857500" cy="78486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228600</xdr:colOff>
      <xdr:row>1</xdr:row>
      <xdr:rowOff>68580</xdr:rowOff>
    </xdr:from>
    <xdr:to>
      <xdr:col>12</xdr:col>
      <xdr:colOff>297180</xdr:colOff>
      <xdr:row>6</xdr:row>
      <xdr:rowOff>30480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7170420" y="396240"/>
          <a:ext cx="2080260" cy="838200"/>
          <a:chOff x="8397240" y="388620"/>
          <a:chExt cx="2903220" cy="8382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8397240" y="388620"/>
            <a:ext cx="2857500" cy="78486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8442960" y="441960"/>
            <a:ext cx="2857500" cy="784860"/>
          </a:xfrm>
          <a:prstGeom prst="round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oneCellAnchor>
    <xdr:from>
      <xdr:col>3</xdr:col>
      <xdr:colOff>368626</xdr:colOff>
      <xdr:row>3</xdr:row>
      <xdr:rowOff>159835</xdr:rowOff>
    </xdr:from>
    <xdr:ext cx="1358257" cy="342786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287086" y="838015"/>
          <a:ext cx="1358257" cy="34278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Opening</a:t>
          </a:r>
        </a:p>
      </xdr:txBody>
    </xdr:sp>
    <xdr:clientData/>
  </xdr:oneCellAnchor>
  <xdr:twoCellAnchor editAs="oneCell">
    <xdr:from>
      <xdr:col>5</xdr:col>
      <xdr:colOff>586740</xdr:colOff>
      <xdr:row>1</xdr:row>
      <xdr:rowOff>30480</xdr:rowOff>
    </xdr:from>
    <xdr:to>
      <xdr:col>7</xdr:col>
      <xdr:colOff>160020</xdr:colOff>
      <xdr:row>6</xdr:row>
      <xdr:rowOff>68580</xdr:rowOff>
    </xdr:to>
    <xdr:pic>
      <xdr:nvPicPr>
        <xdr:cNvPr id="18" name="Graphic 17" descr="Bar chart with solid fi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46320" y="3581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9</xdr:col>
      <xdr:colOff>241440</xdr:colOff>
      <xdr:row>1</xdr:row>
      <xdr:rowOff>117120</xdr:rowOff>
    </xdr:from>
    <xdr:to>
      <xdr:col>10</xdr:col>
      <xdr:colOff>403860</xdr:colOff>
      <xdr:row>6</xdr:row>
      <xdr:rowOff>73800</xdr:rowOff>
    </xdr:to>
    <xdr:pic>
      <xdr:nvPicPr>
        <xdr:cNvPr id="20" name="Graphic 19" descr="Database with solid fil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183260" y="444780"/>
          <a:ext cx="832980" cy="832980"/>
        </a:xfrm>
        <a:prstGeom prst="rect">
          <a:avLst/>
        </a:prstGeom>
      </xdr:spPr>
    </xdr:pic>
    <xdr:clientData/>
  </xdr:twoCellAnchor>
  <xdr:twoCellAnchor editAs="oneCell">
    <xdr:from>
      <xdr:col>2</xdr:col>
      <xdr:colOff>178080</xdr:colOff>
      <xdr:row>1</xdr:row>
      <xdr:rowOff>33300</xdr:rowOff>
    </xdr:from>
    <xdr:to>
      <xdr:col>3</xdr:col>
      <xdr:colOff>421920</xdr:colOff>
      <xdr:row>6</xdr:row>
      <xdr:rowOff>71400</xdr:rowOff>
    </xdr:to>
    <xdr:pic>
      <xdr:nvPicPr>
        <xdr:cNvPr id="22" name="Graphic 21" descr="Upward trend with solid fil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980" y="360960"/>
          <a:ext cx="914400" cy="914400"/>
        </a:xfrm>
        <a:prstGeom prst="rect">
          <a:avLst/>
        </a:prstGeom>
      </xdr:spPr>
    </xdr:pic>
    <xdr:clientData/>
  </xdr:twoCellAnchor>
  <xdr:oneCellAnchor>
    <xdr:from>
      <xdr:col>7</xdr:col>
      <xdr:colOff>81749</xdr:colOff>
      <xdr:row>3</xdr:row>
      <xdr:rowOff>159835</xdr:rowOff>
    </xdr:from>
    <xdr:ext cx="1413849" cy="342786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682449" y="838015"/>
          <a:ext cx="1413849" cy="34278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Purchase</a:t>
          </a:r>
        </a:p>
      </xdr:txBody>
    </xdr:sp>
    <xdr:clientData/>
  </xdr:oneCellAnchor>
  <xdr:oneCellAnchor>
    <xdr:from>
      <xdr:col>10</xdr:col>
      <xdr:colOff>296077</xdr:colOff>
      <xdr:row>4</xdr:row>
      <xdr:rowOff>53155</xdr:rowOff>
    </xdr:from>
    <xdr:ext cx="1305229" cy="342786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908457" y="906595"/>
          <a:ext cx="1305229" cy="34278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Balance</a:t>
          </a:r>
        </a:p>
      </xdr:txBody>
    </xdr:sp>
    <xdr:clientData/>
  </xdr:oneCellAnchor>
  <xdr:oneCellAnchor>
    <xdr:from>
      <xdr:col>3</xdr:col>
      <xdr:colOff>437673</xdr:colOff>
      <xdr:row>1</xdr:row>
      <xdr:rowOff>68395</xdr:rowOff>
    </xdr:from>
    <xdr:ext cx="808684" cy="593304"/>
    <xdr:sp macro="" textlink="Purchase_details!I2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356133" y="396055"/>
          <a:ext cx="808684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fld id="{805B7E10-A3F3-4198-A25D-7E9B686A99D9}" type="TxLink">
            <a:rPr lang="en-US" sz="32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Kalimati"/>
            </a:rPr>
            <a:pPr algn="ctr"/>
            <a:t>1699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12</xdr:col>
      <xdr:colOff>403860</xdr:colOff>
      <xdr:row>1</xdr:row>
      <xdr:rowOff>60960</xdr:rowOff>
    </xdr:from>
    <xdr:to>
      <xdr:col>15</xdr:col>
      <xdr:colOff>472440</xdr:colOff>
      <xdr:row>6</xdr:row>
      <xdr:rowOff>22860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9357360" y="388620"/>
          <a:ext cx="2080260" cy="838200"/>
          <a:chOff x="8397240" y="388620"/>
          <a:chExt cx="2903220" cy="838200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8397240" y="388620"/>
            <a:ext cx="2857500" cy="78486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8442960" y="441960"/>
            <a:ext cx="2857500" cy="784860"/>
          </a:xfrm>
          <a:prstGeom prst="round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oneCellAnchor>
    <xdr:from>
      <xdr:col>13</xdr:col>
      <xdr:colOff>318937</xdr:colOff>
      <xdr:row>4</xdr:row>
      <xdr:rowOff>22675</xdr:rowOff>
    </xdr:from>
    <xdr:ext cx="1305229" cy="342786"/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9942997" y="876115"/>
          <a:ext cx="1305229" cy="34278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Balance</a:t>
          </a:r>
        </a:p>
      </xdr:txBody>
    </xdr:sp>
    <xdr:clientData/>
  </xdr:oneCellAnchor>
  <xdr:twoCellAnchor>
    <xdr:from>
      <xdr:col>2</xdr:col>
      <xdr:colOff>114300</xdr:colOff>
      <xdr:row>6</xdr:row>
      <xdr:rowOff>91440</xdr:rowOff>
    </xdr:from>
    <xdr:to>
      <xdr:col>15</xdr:col>
      <xdr:colOff>518160</xdr:colOff>
      <xdr:row>28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7</xdr:col>
      <xdr:colOff>247173</xdr:colOff>
      <xdr:row>1</xdr:row>
      <xdr:rowOff>45535</xdr:rowOff>
    </xdr:from>
    <xdr:ext cx="808684" cy="593304"/>
    <xdr:sp macro="" textlink="Purchase_details!I2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847873" y="373195"/>
          <a:ext cx="808684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fld id="{805B7E10-A3F3-4198-A25D-7E9B686A99D9}" type="TxLink">
            <a:rPr lang="en-US" sz="32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Kalimati"/>
            </a:rPr>
            <a:pPr algn="ctr"/>
            <a:t>1699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</xdr:row>
          <xdr:rowOff>129540</xdr:rowOff>
        </xdr:from>
        <xdr:to>
          <xdr:col>1</xdr:col>
          <xdr:colOff>1333500</xdr:colOff>
          <xdr:row>4</xdr:row>
          <xdr:rowOff>144780</xdr:rowOff>
        </xdr:to>
        <xdr:sp macro="" textlink="">
          <xdr:nvSpPr>
            <xdr:cNvPr id="1025" name="btnEntr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53340</xdr:colOff>
      <xdr:row>1</xdr:row>
      <xdr:rowOff>15240</xdr:rowOff>
    </xdr:from>
    <xdr:to>
      <xdr:col>1</xdr:col>
      <xdr:colOff>381000</xdr:colOff>
      <xdr:row>2</xdr:row>
      <xdr:rowOff>15240</xdr:rowOff>
    </xdr:to>
    <xdr:pic>
      <xdr:nvPicPr>
        <xdr:cNvPr id="2" name="Graphic 1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23900" y="190500"/>
          <a:ext cx="327660" cy="3276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53340</xdr:colOff>
      <xdr:row>0</xdr:row>
      <xdr:rowOff>167640</xdr:rowOff>
    </xdr:from>
    <xdr:to>
      <xdr:col>1</xdr:col>
      <xdr:colOff>381000</xdr:colOff>
      <xdr:row>1</xdr:row>
      <xdr:rowOff>320040</xdr:rowOff>
    </xdr:to>
    <xdr:pic>
      <xdr:nvPicPr>
        <xdr:cNvPr id="2" name="Graphic 1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23900" y="167640"/>
          <a:ext cx="327660" cy="3276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7620</xdr:rowOff>
    </xdr:from>
    <xdr:to>
      <xdr:col>1</xdr:col>
      <xdr:colOff>403860</xdr:colOff>
      <xdr:row>2</xdr:row>
      <xdr:rowOff>7620</xdr:rowOff>
    </xdr:to>
    <xdr:pic>
      <xdr:nvPicPr>
        <xdr:cNvPr id="3" name="Graphic 2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6760" y="182880"/>
          <a:ext cx="327660" cy="32766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C87269-25EE-44DF-B8C9-447BE52B90B5}" name="Table2" displayName="Table2" ref="B3:G13" totalsRowShown="0" headerRowDxfId="21" headerRowBorderDxfId="20" tableBorderDxfId="19" totalsRowBorderDxfId="18">
  <autoFilter ref="B3:G13" xr:uid="{93C87269-25EE-44DF-B8C9-447BE52B90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B7350F2-44AD-4B45-822E-F0C697BE4F23}" name="Date"/>
    <tableColumn id="2" xr3:uid="{F3247D12-2036-435B-AC08-81EF52E1D9D3}" name="Bill Noo" dataDxfId="17"/>
    <tableColumn id="3" xr3:uid="{7FA6E375-B3F5-43FC-B1CE-3C4ABB9AEFA3}" name="Items"/>
    <tableColumn id="4" xr3:uid="{0E5FDFBD-759B-4B9C-8A8A-9FD72FAE2AE7}" name="Qty"/>
    <tableColumn id="5" xr3:uid="{B1D2AA2A-A0FD-47FB-B358-CF1B2105BE50}" name="Rate"/>
    <tableColumn id="6" xr3:uid="{14E11A78-8586-409C-927F-FE4BC46ADF53}" name="Amount">
      <calculatedColumnFormula>E4*F4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77C502-32F4-4243-B4B2-DDB4FDD95ACE}" name="Table3" displayName="Table3" ref="B3:G17" totalsRowShown="0" headerRowDxfId="16" headerRowBorderDxfId="15" tableBorderDxfId="14" totalsRowBorderDxfId="13">
  <autoFilter ref="B3:G17" xr:uid="{0B77C502-32F4-4243-B4B2-DDB4FDD95A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6AE29DA-1B89-4712-B6BE-F01DFDB6C368}" name="Date" dataDxfId="12"/>
    <tableColumn id="2" xr3:uid="{A68B0AE1-CE39-4E0A-87C1-4B1B1EAE212C}" name="Bill Noo" dataDxfId="11"/>
    <tableColumn id="3" xr3:uid="{87330AB8-9EE3-4F4E-8C93-94F399539A4D}" name="Items" dataDxfId="10"/>
    <tableColumn id="4" xr3:uid="{1497F444-12AA-416C-AD5D-F28891FFAF31}" name="Qty" dataDxfId="9"/>
    <tableColumn id="5" xr3:uid="{076C9904-C084-445A-B4CC-A3356E6E90CD}" name="Rate" dataDxfId="8"/>
    <tableColumn id="6" xr3:uid="{655C6A44-E16E-4F17-8286-EF6DA82E13A2}" name="Amount" dataDxfId="7">
      <calculatedColumnFormula>E4*F4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3CAC7F-E781-4A9A-AEE5-5B9B77FD7035}" name="Table1" displayName="Table1" ref="B3:F8" totalsRowShown="0" headerRowDxfId="6" tableBorderDxfId="5">
  <autoFilter ref="B3:F8" xr:uid="{4A3CAC7F-E781-4A9A-AEE5-5B9B77FD703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AB2FF55-0D58-4CCE-86DC-84164D66504E}" name="Items" dataDxfId="4"/>
    <tableColumn id="2" xr3:uid="{51FF2512-C34A-4B60-9A9A-D1DCC8238875}" name="Open Stock" dataDxfId="3"/>
    <tableColumn id="3" xr3:uid="{B60415AC-6103-4884-8195-BD133928DCFF}" name="Pruchase" dataDxfId="2">
      <calculatedColumnFormula>SUMIF(Purchase_details!D4:D17,Table1[[#This Row],[Items]],Purchase_details!E4:E17)</calculatedColumnFormula>
    </tableColumn>
    <tableColumn id="4" xr3:uid="{678A6D7E-BF26-46D9-949C-F0FDE6DF7ECD}" name="Sales" dataDxfId="1">
      <calculatedColumnFormula>SUMIF(Sales_Details!D4:D13,Table1[[#This Row],[Items]],Sales_Details!E4:E13)</calculatedColumnFormula>
    </tableColumn>
    <tableColumn id="5" xr3:uid="{11A8B5DA-55DC-4102-B205-7B968F7C4CC3}" name="Blance" dataDxfId="0">
      <calculatedColumnFormula>Table1[[#This Row],[Open Stock]]+Table1[[#This Row],[Pruchase]]-Table1[[#This Row],[Sales]]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9">
    <wetp:webextensionref xmlns:r="http://schemas.openxmlformats.org/officeDocument/2006/relationships" r:id="rId1"/>
  </wetp:taskpane>
  <wetp:taskpane dockstate="right" visibility="0" width="438" row="1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2BC03A1E-39D4-41C5-BEFF-31D183F0285D}">
  <we:reference id="wa104199815" version="1.0.0.1" store="en-US" storeType="OMEX"/>
  <we:alternateReferences>
    <we:reference id="wa104199815" version="1.0.0.1" store="wa104199815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1A7A678-D1A5-4F39-A6FB-BA65013C58A2}">
  <we:reference id="wa104006972" version="1.0.0.0" store="en-US" storeType="OMEX"/>
  <we:alternateReferences>
    <we:reference id="WA104006972" version="1.0.0.0" store="WA1040069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6E24-8B02-454C-BFE0-9F81657557FA}">
  <sheetPr codeName="Sheet1"/>
  <dimension ref="A1:P29"/>
  <sheetViews>
    <sheetView showGridLines="0" workbookViewId="0">
      <selection activeCell="A21" sqref="A21"/>
    </sheetView>
  </sheetViews>
  <sheetFormatPr defaultRowHeight="13.8"/>
  <cols>
    <col min="2" max="2" width="20.69921875" customWidth="1"/>
  </cols>
  <sheetData>
    <row r="1" spans="1:16" ht="25.8" customHeight="1">
      <c r="A1" s="1"/>
      <c r="B1" s="2"/>
      <c r="C1" s="4" t="s">
        <v>0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>
      <c r="A2" s="1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1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>
      <c r="A4" s="1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>
      <c r="A6" s="1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>
      <c r="A7" s="1"/>
      <c r="B7" s="2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>
      <c r="A8" s="1"/>
      <c r="B8" s="2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>
      <c r="A9" s="1"/>
      <c r="B9" s="2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>
      <c r="A10" s="1"/>
      <c r="B10" s="2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>
      <c r="A13" s="1"/>
      <c r="B13" s="2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>
      <c r="A14" s="1"/>
      <c r="B14" s="2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>
      <c r="A15" s="1"/>
      <c r="B15" s="2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>
      <c r="A16" s="1"/>
      <c r="B16" s="2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>
      <c r="A17" s="1"/>
      <c r="B17" s="2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>
      <c r="A18" s="1"/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>
      <c r="A19" s="1"/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>
      <c r="A21" s="1"/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>
      <c r="A22" s="1"/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>
      <c r="A23" s="1"/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>
      <c r="A25" s="1"/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>
      <c r="A27" s="1"/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>
      <c r="A28" s="1"/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>
      <c r="A29" s="1"/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Entry">
          <controlPr defaultSize="0" autoLine="0" r:id="rId4">
            <anchor moveWithCells="1">
              <from>
                <xdr:col>1</xdr:col>
                <xdr:colOff>152400</xdr:colOff>
                <xdr:row>2</xdr:row>
                <xdr:rowOff>129540</xdr:rowOff>
              </from>
              <to>
                <xdr:col>1</xdr:col>
                <xdr:colOff>1333500</xdr:colOff>
                <xdr:row>4</xdr:row>
                <xdr:rowOff>144780</xdr:rowOff>
              </to>
            </anchor>
          </controlPr>
        </control>
      </mc:Choice>
      <mc:Fallback>
        <control shapeId="1025" r:id="rId3" name="btnEntr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C5191-04E1-4E99-A64C-87EED6F0364D}">
  <sheetPr codeName="Sheet2"/>
  <dimension ref="B2:G13"/>
  <sheetViews>
    <sheetView showGridLines="0" workbookViewId="0">
      <selection activeCell="E19" sqref="E19"/>
    </sheetView>
  </sheetViews>
  <sheetFormatPr defaultRowHeight="13.8"/>
  <cols>
    <col min="2" max="2" width="9.8984375" bestFit="1" customWidth="1"/>
    <col min="3" max="3" width="12.19921875" customWidth="1"/>
    <col min="4" max="4" width="23.3984375" customWidth="1"/>
    <col min="7" max="7" width="9.5" customWidth="1"/>
  </cols>
  <sheetData>
    <row r="2" spans="2:7" ht="25.8" customHeight="1">
      <c r="B2" s="37" t="s">
        <v>1</v>
      </c>
      <c r="C2" s="37"/>
      <c r="D2" s="37"/>
      <c r="E2" s="37"/>
      <c r="F2" s="37"/>
      <c r="G2" s="37"/>
    </row>
    <row r="3" spans="2:7">
      <c r="B3" s="19" t="s">
        <v>2</v>
      </c>
      <c r="C3" s="20" t="s">
        <v>4</v>
      </c>
      <c r="D3" s="20" t="s">
        <v>3</v>
      </c>
      <c r="E3" s="20" t="s">
        <v>5</v>
      </c>
      <c r="F3" s="20" t="s">
        <v>6</v>
      </c>
      <c r="G3" s="21" t="s">
        <v>7</v>
      </c>
    </row>
    <row r="4" spans="2:7">
      <c r="B4" s="22"/>
      <c r="C4" s="23"/>
      <c r="D4" s="23"/>
      <c r="E4" s="23"/>
      <c r="F4" s="23"/>
      <c r="G4" s="24">
        <f t="shared" ref="G4:G13" si="0">E4*F4</f>
        <v>0</v>
      </c>
    </row>
    <row r="5" spans="2:7">
      <c r="B5" s="12">
        <v>45379</v>
      </c>
      <c r="C5" s="36">
        <v>1</v>
      </c>
      <c r="D5" s="7" t="s">
        <v>14</v>
      </c>
      <c r="E5" s="7">
        <v>250</v>
      </c>
      <c r="F5" s="7">
        <v>200</v>
      </c>
      <c r="G5" s="18">
        <f t="shared" si="0"/>
        <v>50000</v>
      </c>
    </row>
    <row r="6" spans="2:7">
      <c r="B6" s="17">
        <v>45362</v>
      </c>
      <c r="C6" s="36">
        <v>2</v>
      </c>
      <c r="D6" s="7" t="s">
        <v>15</v>
      </c>
      <c r="E6" s="7">
        <v>120</v>
      </c>
      <c r="F6" s="7">
        <v>50</v>
      </c>
      <c r="G6" s="18">
        <f t="shared" si="0"/>
        <v>6000</v>
      </c>
    </row>
    <row r="7" spans="2:7">
      <c r="B7" s="26">
        <v>66078</v>
      </c>
      <c r="C7" s="36">
        <v>3</v>
      </c>
      <c r="D7" t="s">
        <v>15</v>
      </c>
      <c r="E7">
        <v>100</v>
      </c>
      <c r="F7">
        <v>200</v>
      </c>
      <c r="G7">
        <f t="shared" si="0"/>
        <v>20000</v>
      </c>
    </row>
    <row r="8" spans="2:7">
      <c r="B8" s="26">
        <v>66079</v>
      </c>
      <c r="C8" s="36">
        <v>4</v>
      </c>
      <c r="D8" t="s">
        <v>16</v>
      </c>
      <c r="E8">
        <v>100</v>
      </c>
      <c r="F8">
        <v>150</v>
      </c>
      <c r="G8">
        <f t="shared" si="0"/>
        <v>15000</v>
      </c>
    </row>
    <row r="9" spans="2:7">
      <c r="B9">
        <v>2100.123</v>
      </c>
      <c r="C9" s="36">
        <v>5</v>
      </c>
      <c r="D9" t="s">
        <v>16</v>
      </c>
      <c r="E9">
        <v>45</v>
      </c>
      <c r="F9">
        <v>200</v>
      </c>
      <c r="G9">
        <f t="shared" si="0"/>
        <v>9000</v>
      </c>
    </row>
    <row r="10" spans="2:7">
      <c r="B10" t="s">
        <v>22</v>
      </c>
      <c r="C10" s="36">
        <v>6</v>
      </c>
      <c r="D10" t="s">
        <v>15</v>
      </c>
      <c r="E10">
        <v>120</v>
      </c>
      <c r="F10">
        <v>200</v>
      </c>
      <c r="G10">
        <f t="shared" si="0"/>
        <v>24000</v>
      </c>
    </row>
    <row r="11" spans="2:7">
      <c r="B11" t="s">
        <v>23</v>
      </c>
      <c r="C11" s="36">
        <v>7</v>
      </c>
      <c r="D11" t="s">
        <v>16</v>
      </c>
      <c r="E11">
        <v>200</v>
      </c>
      <c r="F11">
        <v>150</v>
      </c>
      <c r="G11">
        <f t="shared" si="0"/>
        <v>30000</v>
      </c>
    </row>
    <row r="12" spans="2:7">
      <c r="B12">
        <v>25</v>
      </c>
      <c r="C12" s="36">
        <v>8</v>
      </c>
      <c r="D12" t="s">
        <v>16</v>
      </c>
      <c r="E12">
        <v>452</v>
      </c>
      <c r="F12">
        <v>200</v>
      </c>
      <c r="G12">
        <f t="shared" si="0"/>
        <v>90400</v>
      </c>
    </row>
    <row r="13" spans="2:7">
      <c r="B13" t="s">
        <v>25</v>
      </c>
      <c r="C13" s="36">
        <v>9</v>
      </c>
      <c r="D13" t="s">
        <v>16</v>
      </c>
      <c r="E13">
        <v>25</v>
      </c>
      <c r="F13">
        <v>120</v>
      </c>
      <c r="G13">
        <f t="shared" si="0"/>
        <v>3000</v>
      </c>
    </row>
  </sheetData>
  <sheetProtection selectLockedCells="1"/>
  <mergeCells count="1">
    <mergeCell ref="B2:G2"/>
  </mergeCells>
  <dataValidations count="1">
    <dataValidation type="list" allowBlank="1" showInputMessage="1" showErrorMessage="1" sqref="D4:D13" xr:uid="{96240673-4CFA-488E-B014-52D1C5F811B1}">
      <formula1>Items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6AC36-A847-4DC1-99A7-4DA3D2EB55AE}">
  <sheetPr codeName="Sheet3"/>
  <dimension ref="B2:I17"/>
  <sheetViews>
    <sheetView showGridLines="0" tabSelected="1" workbookViewId="0">
      <selection activeCell="D6" sqref="D6"/>
    </sheetView>
  </sheetViews>
  <sheetFormatPr defaultRowHeight="13.8"/>
  <cols>
    <col min="2" max="2" width="11.09765625" bestFit="1" customWidth="1"/>
    <col min="3" max="3" width="12.19921875" customWidth="1"/>
    <col min="4" max="4" width="23.3984375" customWidth="1"/>
    <col min="7" max="7" width="9.5" customWidth="1"/>
  </cols>
  <sheetData>
    <row r="2" spans="2:9" ht="25.8" customHeight="1">
      <c r="B2" s="37" t="s">
        <v>8</v>
      </c>
      <c r="C2" s="37"/>
      <c r="D2" s="37"/>
      <c r="E2" s="37"/>
      <c r="F2" s="37"/>
      <c r="G2" s="37"/>
      <c r="I2">
        <f>SUM(Table3[Qty])</f>
        <v>1699</v>
      </c>
    </row>
    <row r="3" spans="2:9">
      <c r="B3" s="19" t="s">
        <v>2</v>
      </c>
      <c r="C3" s="20" t="s">
        <v>4</v>
      </c>
      <c r="D3" s="20" t="s">
        <v>3</v>
      </c>
      <c r="E3" s="20" t="s">
        <v>5</v>
      </c>
      <c r="F3" s="20" t="s">
        <v>6</v>
      </c>
      <c r="G3" s="21" t="s">
        <v>7</v>
      </c>
    </row>
    <row r="4" spans="2:9">
      <c r="B4" s="27"/>
      <c r="C4" s="27"/>
      <c r="D4" s="27"/>
      <c r="E4" s="27"/>
      <c r="F4" s="27"/>
      <c r="G4" s="27">
        <f t="shared" ref="G4:G8" si="0">E4*F4</f>
        <v>0</v>
      </c>
    </row>
    <row r="5" spans="2:9">
      <c r="B5" s="13">
        <v>45363</v>
      </c>
      <c r="C5" s="35">
        <v>1</v>
      </c>
      <c r="D5" s="14" t="s">
        <v>17</v>
      </c>
      <c r="E5" s="14">
        <v>200</v>
      </c>
      <c r="F5" s="14">
        <v>150</v>
      </c>
      <c r="G5" s="27">
        <f t="shared" si="0"/>
        <v>30000</v>
      </c>
    </row>
    <row r="6" spans="2:9">
      <c r="B6" s="13">
        <v>44228</v>
      </c>
      <c r="C6" s="35">
        <v>2</v>
      </c>
      <c r="D6" s="14" t="s">
        <v>15</v>
      </c>
      <c r="E6" s="14">
        <v>50</v>
      </c>
      <c r="F6" s="14">
        <v>105</v>
      </c>
      <c r="G6" s="27">
        <f t="shared" si="0"/>
        <v>5250</v>
      </c>
    </row>
    <row r="7" spans="2:9">
      <c r="B7" s="13">
        <v>45337</v>
      </c>
      <c r="C7" s="35">
        <v>3</v>
      </c>
      <c r="D7" s="14" t="s">
        <v>15</v>
      </c>
      <c r="E7" s="14">
        <v>2</v>
      </c>
      <c r="F7" s="14">
        <v>100</v>
      </c>
      <c r="G7" s="27">
        <f t="shared" si="0"/>
        <v>200</v>
      </c>
    </row>
    <row r="8" spans="2:9">
      <c r="B8" s="12">
        <v>45337</v>
      </c>
      <c r="C8" s="35">
        <v>4</v>
      </c>
      <c r="D8" s="7" t="s">
        <v>15</v>
      </c>
      <c r="E8" s="7">
        <v>2</v>
      </c>
      <c r="F8" s="7">
        <v>200</v>
      </c>
      <c r="G8" s="27">
        <f t="shared" si="0"/>
        <v>400</v>
      </c>
    </row>
    <row r="9" spans="2:9">
      <c r="B9" s="28" t="s">
        <v>19</v>
      </c>
      <c r="C9" s="35">
        <v>5</v>
      </c>
      <c r="D9" s="28" t="s">
        <v>15</v>
      </c>
      <c r="E9" s="28">
        <v>120</v>
      </c>
      <c r="F9" s="28">
        <v>200</v>
      </c>
      <c r="G9" s="27">
        <f t="shared" ref="G9:G14" si="1">E9*F9</f>
        <v>24000</v>
      </c>
    </row>
    <row r="10" spans="2:9" ht="21">
      <c r="B10" s="29">
        <v>57742</v>
      </c>
      <c r="C10" s="35">
        <v>6</v>
      </c>
      <c r="D10" s="30" t="s">
        <v>15</v>
      </c>
      <c r="E10" s="28">
        <v>34</v>
      </c>
      <c r="F10" s="28">
        <v>200</v>
      </c>
      <c r="G10" s="27">
        <f t="shared" si="1"/>
        <v>6800</v>
      </c>
    </row>
    <row r="11" spans="2:9">
      <c r="B11" s="31">
        <v>54822</v>
      </c>
      <c r="C11" s="35">
        <v>7</v>
      </c>
      <c r="D11" s="11" t="s">
        <v>15</v>
      </c>
      <c r="E11" s="11">
        <v>123</v>
      </c>
      <c r="F11" s="11">
        <v>200</v>
      </c>
      <c r="G11" s="32">
        <f t="shared" si="1"/>
        <v>24600</v>
      </c>
    </row>
    <row r="12" spans="2:9">
      <c r="B12" s="31">
        <v>66078</v>
      </c>
      <c r="C12" s="35">
        <v>8</v>
      </c>
      <c r="D12" s="11" t="s">
        <v>21</v>
      </c>
      <c r="E12" s="11">
        <v>150</v>
      </c>
      <c r="F12" s="11">
        <v>2000</v>
      </c>
      <c r="G12" s="32">
        <f t="shared" si="1"/>
        <v>300000</v>
      </c>
    </row>
    <row r="13" spans="2:9">
      <c r="B13" s="11" t="s">
        <v>24</v>
      </c>
      <c r="C13" s="35">
        <v>9</v>
      </c>
      <c r="D13" s="11" t="s">
        <v>16</v>
      </c>
      <c r="E13" s="11">
        <v>45</v>
      </c>
      <c r="F13" s="11">
        <v>160</v>
      </c>
      <c r="G13" s="32">
        <f t="shared" si="1"/>
        <v>7200</v>
      </c>
    </row>
    <row r="14" spans="2:9">
      <c r="B14" s="11">
        <v>225</v>
      </c>
      <c r="C14" s="35">
        <v>10</v>
      </c>
      <c r="D14" s="11" t="s">
        <v>16</v>
      </c>
      <c r="E14" s="11">
        <v>452</v>
      </c>
      <c r="F14" s="11">
        <v>150</v>
      </c>
      <c r="G14" s="32">
        <f t="shared" si="1"/>
        <v>67800</v>
      </c>
    </row>
    <row r="15" spans="2:9">
      <c r="B15" s="31">
        <v>37265</v>
      </c>
      <c r="C15" s="11">
        <v>11</v>
      </c>
      <c r="D15" s="11" t="s">
        <v>21</v>
      </c>
      <c r="E15" s="11">
        <v>10</v>
      </c>
      <c r="F15" s="11">
        <v>150</v>
      </c>
      <c r="G15" s="32">
        <f>E15*F15</f>
        <v>1500</v>
      </c>
    </row>
    <row r="16" spans="2:9">
      <c r="B16" s="31">
        <v>36892</v>
      </c>
      <c r="C16" s="11">
        <v>12</v>
      </c>
      <c r="D16" s="11" t="s">
        <v>20</v>
      </c>
      <c r="E16" s="11">
        <v>11</v>
      </c>
      <c r="F16" s="11">
        <v>199</v>
      </c>
      <c r="G16" s="32">
        <f>E16*F16</f>
        <v>2189</v>
      </c>
    </row>
    <row r="17" spans="2:7">
      <c r="B17" s="31">
        <v>45324</v>
      </c>
      <c r="C17" s="11">
        <v>13</v>
      </c>
      <c r="D17" s="11" t="s">
        <v>15</v>
      </c>
      <c r="E17" s="11">
        <v>500</v>
      </c>
      <c r="F17" s="11">
        <v>250</v>
      </c>
      <c r="G17" s="32">
        <f>E17*F17</f>
        <v>125000</v>
      </c>
    </row>
  </sheetData>
  <sheetProtection algorithmName="SHA-512" hashValue="fXHNQ6grZnVxhvZ/bBDbL6YtFLLVkFS9i7DiFDYGJrjpGU2UY9/LUhDXOSkXtHg7Ha5L0gJbZJtkTV+Kuxbsrw==" saltValue="R61ayS3bytvgL+uCRtMRWA==" spinCount="100000" sheet="1" objects="1" scenarios="1" selectLockedCells="1"/>
  <mergeCells count="1">
    <mergeCell ref="B2:G2"/>
  </mergeCells>
  <dataValidations count="1">
    <dataValidation type="list" allowBlank="1" showInputMessage="1" showErrorMessage="1" sqref="D5:D7" xr:uid="{68810857-8210-45A2-9CEE-E9DF0B5351ED}">
      <formula1>Items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C73183-503E-44D8-B32D-347569302FE6}">
          <x14:formula1>
            <xm:f>Stock_details!$B$4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4826C-D284-42BA-BB45-7FFC4CDACFCF}">
  <sheetPr codeName="Sheet4"/>
  <dimension ref="B2:F8"/>
  <sheetViews>
    <sheetView showGridLines="0" workbookViewId="0">
      <selection activeCell="K15" sqref="K15"/>
    </sheetView>
  </sheetViews>
  <sheetFormatPr defaultRowHeight="13.8"/>
  <cols>
    <col min="2" max="2" width="27.19921875" customWidth="1"/>
    <col min="3" max="3" width="12.69921875" customWidth="1"/>
    <col min="4" max="4" width="11.3984375" customWidth="1"/>
    <col min="5" max="5" width="13.796875" customWidth="1"/>
    <col min="6" max="6" width="8.796875" style="5"/>
  </cols>
  <sheetData>
    <row r="2" spans="2:6" ht="25.8" customHeight="1">
      <c r="B2" s="38" t="s">
        <v>9</v>
      </c>
      <c r="C2" s="38"/>
      <c r="D2" s="38"/>
      <c r="E2" s="38"/>
      <c r="F2" s="38"/>
    </row>
    <row r="3" spans="2:6">
      <c r="B3" s="8" t="s">
        <v>3</v>
      </c>
      <c r="C3" s="6" t="s">
        <v>10</v>
      </c>
      <c r="D3" s="6" t="s">
        <v>11</v>
      </c>
      <c r="E3" s="6" t="s">
        <v>12</v>
      </c>
      <c r="F3" s="9" t="s">
        <v>13</v>
      </c>
    </row>
    <row r="4" spans="2:6">
      <c r="B4" s="10" t="s">
        <v>14</v>
      </c>
      <c r="C4" s="11">
        <v>250</v>
      </c>
      <c r="D4" s="11">
        <f>SUMIF(Purchase_details!D5:D8,Table1[[#This Row],[Items]],Purchase_details!E5:E8)</f>
        <v>0</v>
      </c>
      <c r="E4" s="11">
        <f>SUMIF(Sales_Details!D5:D6,Table1[[#This Row],[Items]],Sales_Details!E5:E6)</f>
        <v>250</v>
      </c>
      <c r="F4" s="15">
        <f>Table1[[#This Row],[Open Stock]]+Table1[[#This Row],[Pruchase]]-Table1[[#This Row],[Sales]]</f>
        <v>0</v>
      </c>
    </row>
    <row r="5" spans="2:6">
      <c r="B5" s="10" t="s">
        <v>15</v>
      </c>
      <c r="C5" s="11">
        <v>100</v>
      </c>
      <c r="D5" s="11">
        <f ca="1">SUMIF(Purchase_details!D5:D11,Table1[[#This Row],[Items]],Purchase_details!E6:E8)</f>
        <v>431</v>
      </c>
      <c r="E5" s="11">
        <f>SUMIF(Sales_Details!D6:D7,Table1[[#This Row],[Items]],Sales_Details!E6:E7)</f>
        <v>220</v>
      </c>
      <c r="F5" s="15">
        <f ca="1">Table1[[#This Row],[Open Stock]]+Table1[[#This Row],[Pruchase]]-Table1[[#This Row],[Sales]]</f>
        <v>311</v>
      </c>
    </row>
    <row r="6" spans="2:6">
      <c r="B6" s="10" t="s">
        <v>16</v>
      </c>
      <c r="C6" s="11">
        <v>120</v>
      </c>
      <c r="D6" s="11">
        <f>SUMIF(Purchase_details!D7:D8,Table1[[#This Row],[Items]],Purchase_details!E7:E8)</f>
        <v>0</v>
      </c>
      <c r="E6" s="11">
        <f>SUMIF(Sales_Details!D7:D8,Table1[[#This Row],[Items]],Sales_Details!E7:E8)</f>
        <v>100</v>
      </c>
      <c r="F6" s="15">
        <f>Table1[[#This Row],[Open Stock]]+Table1[[#This Row],[Pruchase]]-Table1[[#This Row],[Sales]]</f>
        <v>20</v>
      </c>
    </row>
    <row r="7" spans="2:6">
      <c r="B7" s="10" t="s">
        <v>17</v>
      </c>
      <c r="C7" s="11"/>
      <c r="D7" s="11">
        <f>SUMIF(Purchase_details!D8:D8,Table1[[#This Row],[Items]],Purchase_details!E8:E8)</f>
        <v>0</v>
      </c>
      <c r="E7" s="11">
        <f>SUMIF(Sales_Details!D7:D9,Table1[[#This Row],[Items]],Sales_Details!E7:E9)</f>
        <v>0</v>
      </c>
      <c r="F7" s="16">
        <f>Table1[[#This Row],[Open Stock]]+Table1[[#This Row],[Pruchase]]-Table1[[#This Row],[Sales]]</f>
        <v>0</v>
      </c>
    </row>
    <row r="8" spans="2:6">
      <c r="B8" s="10" t="s">
        <v>18</v>
      </c>
      <c r="C8" s="11"/>
      <c r="D8" s="25">
        <f>SUMIF(Purchase_details!D8:D9,Table1[[#This Row],[Items]],Purchase_details!E8:E9)</f>
        <v>0</v>
      </c>
      <c r="E8" s="25">
        <f>SUMIF(Sales_Details!D8:D10,Table1[[#This Row],[Items]],Sales_Details!E8:E10)</f>
        <v>0</v>
      </c>
      <c r="F8" s="16">
        <f>Table1[[#This Row],[Open Stock]]+Table1[[#This Row],[Pruchase]]-Table1[[#This Row],[Sales]]</f>
        <v>0</v>
      </c>
    </row>
  </sheetData>
  <mergeCells count="1"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21113-B025-4C6A-8E3F-2643650AC959}">
  <sheetPr codeName="Sheet5"/>
  <dimension ref="C4:C10"/>
  <sheetViews>
    <sheetView workbookViewId="0">
      <selection activeCell="C11" sqref="C11"/>
    </sheetView>
  </sheetViews>
  <sheetFormatPr defaultRowHeight="13.8"/>
  <sheetData>
    <row r="4" spans="3:3">
      <c r="C4" s="33" t="s">
        <v>3</v>
      </c>
    </row>
    <row r="5" spans="3:3">
      <c r="C5" s="28" t="s">
        <v>15</v>
      </c>
    </row>
    <row r="6" spans="3:3">
      <c r="C6" s="28" t="s">
        <v>16</v>
      </c>
    </row>
    <row r="7" spans="3:3">
      <c r="C7" s="28" t="s">
        <v>17</v>
      </c>
    </row>
    <row r="8" spans="3:3">
      <c r="C8" s="28" t="s">
        <v>20</v>
      </c>
    </row>
    <row r="9" spans="3:3">
      <c r="C9" s="28" t="s">
        <v>14</v>
      </c>
    </row>
    <row r="10" spans="3:3">
      <c r="C10" s="34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Sales_Details</vt:lpstr>
      <vt:lpstr>Purchase_details</vt:lpstr>
      <vt:lpstr>Stock_details</vt:lpstr>
      <vt:lpstr>Settings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2024-03-10T01:27:07Z</dcterms:created>
  <dcterms:modified xsi:type="dcterms:W3CDTF">2024-03-20T06:37:01Z</dcterms:modified>
</cp:coreProperties>
</file>