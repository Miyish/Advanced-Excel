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202300"/>
  <mc:AlternateContent xmlns:mc="http://schemas.openxmlformats.org/markup-compatibility/2006">
    <mc:Choice Requires="x15">
      <x15ac:absPath xmlns:x15ac="http://schemas.microsoft.com/office/spreadsheetml/2010/11/ac" url="C:\Users\grish\OneDrive\Documents\"/>
    </mc:Choice>
  </mc:AlternateContent>
  <xr:revisionPtr revIDLastSave="0" documentId="13_ncr:1_{AE8523AD-8E8F-4292-85B5-2D81513BAD1C}" xr6:coauthVersionLast="47" xr6:coauthVersionMax="47" xr10:uidLastSave="{00000000-0000-0000-0000-000000000000}"/>
  <bookViews>
    <workbookView xWindow="-110" yWindow="-110" windowWidth="19420" windowHeight="10300" xr2:uid="{05CF7D69-BC0C-43CB-99CE-748366B10516}"/>
  </bookViews>
  <sheets>
    <sheet name="Sheet1" sheetId="1" r:id="rId1"/>
    <sheet name="Stock_details" sheetId="2" r:id="rId2"/>
    <sheet name="sales_detail" sheetId="3" r:id="rId3"/>
    <sheet name="purchdetail" sheetId="4" r:id="rId4"/>
    <sheet name="sales entry" sheetId="5" r:id="rId5"/>
    <sheet name="purchase entry" sheetId="6" r:id="rId6"/>
  </sheets>
  <definedNames>
    <definedName name="items">Table1[ITEMS]</definedName>
    <definedName name="Slicer_ITEMS">#N/A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5" i="3" l="1" a="1"/>
  <c r="A15" i="3" s="1"/>
  <c r="B15" i="3" s="1"/>
  <c r="H12" i="2" s="1"/>
  <c r="B26" i="3"/>
  <c r="F8" i="2"/>
  <c r="A16" i="4" a="1"/>
  <c r="A16" i="4" s="1"/>
  <c r="B16" i="4" s="1"/>
  <c r="J10" i="6"/>
  <c r="J12" i="6"/>
  <c r="H19" i="5"/>
  <c r="H11" i="5"/>
  <c r="H9" i="5"/>
  <c r="B16" i="3" l="1"/>
  <c r="H13" i="2" s="1"/>
  <c r="B18" i="3"/>
  <c r="H15" i="2" s="1"/>
  <c r="B17" i="3"/>
  <c r="H14" i="2" s="1"/>
  <c r="B21" i="4"/>
  <c r="G17" i="2" s="1"/>
  <c r="B20" i="4"/>
  <c r="G16" i="2" s="1"/>
  <c r="B19" i="4"/>
  <c r="G15" i="2" s="1"/>
  <c r="B18" i="4"/>
  <c r="G14" i="2" s="1"/>
  <c r="B22" i="4"/>
  <c r="G18" i="2" s="1"/>
  <c r="B17" i="4"/>
  <c r="G13" i="2" s="1"/>
  <c r="B23" i="4"/>
  <c r="G19" i="2" s="1"/>
  <c r="G12" i="2"/>
  <c r="B19" i="3"/>
  <c r="H16" i="2" s="1"/>
  <c r="B25" i="3"/>
  <c r="B24" i="3"/>
  <c r="B23" i="3"/>
  <c r="B22" i="3"/>
  <c r="H19" i="2" s="1"/>
  <c r="B21" i="3"/>
  <c r="H18" i="2" s="1"/>
  <c r="B20" i="3"/>
  <c r="H17" i="2" s="1"/>
  <c r="I19" i="2" l="1"/>
  <c r="I12" i="2"/>
  <c r="I18" i="2"/>
  <c r="I13" i="2"/>
  <c r="I14" i="2"/>
  <c r="I15" i="2"/>
  <c r="I16" i="2"/>
  <c r="I17" i="2"/>
  <c r="H8" i="2"/>
  <c r="G8" i="2"/>
  <c r="I8"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<sst xmlns="http://schemas.openxmlformats.org/spreadsheetml/2006/main" count="88" uniqueCount="31">
  <si>
    <t>SMS</t>
  </si>
  <si>
    <t>STOCK MANAGEMENT SYSTEM</t>
  </si>
  <si>
    <t>Grand Total</t>
  </si>
  <si>
    <t>STOCK DETIALS</t>
  </si>
  <si>
    <t>SN</t>
  </si>
  <si>
    <t>ITEMS</t>
  </si>
  <si>
    <t>OPENING BAL</t>
  </si>
  <si>
    <t>PURCHASE BAL</t>
  </si>
  <si>
    <t>SALES BALANCE</t>
  </si>
  <si>
    <t>BALANCE</t>
  </si>
  <si>
    <t>Keyboard</t>
  </si>
  <si>
    <t>Mouse</t>
  </si>
  <si>
    <t>Monitor</t>
  </si>
  <si>
    <t>Laptop</t>
  </si>
  <si>
    <t>Hard Disk</t>
  </si>
  <si>
    <t>SALES DETAILS</t>
  </si>
  <si>
    <t>Bill No</t>
  </si>
  <si>
    <t>Date</t>
  </si>
  <si>
    <t>Items</t>
  </si>
  <si>
    <t>Qty</t>
  </si>
  <si>
    <t>Rate</t>
  </si>
  <si>
    <t>Amount</t>
  </si>
  <si>
    <t>PURCHASE DETAILS</t>
  </si>
  <si>
    <t>SALES ENTRY FORM</t>
  </si>
  <si>
    <t>PURCHASE ENTRY FORM</t>
  </si>
  <si>
    <t>``````````</t>
  </si>
  <si>
    <t>COPY</t>
  </si>
  <si>
    <t>Pen</t>
  </si>
  <si>
    <t>sales balance</t>
  </si>
  <si>
    <t>purchase balance</t>
  </si>
  <si>
    <t>lizard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</si>
</sst>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1">
    <font>
      <sz val="11"/>
      <color theme="1"/>
      <name val="Aptos Narrow"/>
      <family val="2"/>
      <scheme val="minor"/>
    </font>
    <font>
      <b/>
      <sz val="22"/>
      <color theme="0"/>
      <name val="Aptos Narrow"/>
      <family val="2"/>
      <scheme val="minor"/>
    </font>
    <font>
      <b/>
      <sz val="24"/>
      <color theme="0"/>
      <name val="Aptos Narrow"/>
      <family val="2"/>
      <scheme val="minor"/>
    </font>
    <font>
      <sz val="11"/>
      <color theme="1"/>
      <name val="Arial Black"/>
      <family val="2"/>
    </font>
    <font>
      <sz val="25"/>
      <color theme="0"/>
      <name val="Arial Black"/>
      <family val="2"/>
    </font>
    <font>
      <b/>
      <sz val="11"/>
      <color theme="1"/>
      <name val="Arial"/>
      <family val="2"/>
    </font>
    <font>
      <sz val="11"/>
      <name val="Kalimati"/>
      <family val="2"/>
    </font>
    <font>
      <sz val="20"/>
      <color theme="0"/>
      <name val="Arial Black"/>
      <family val="2"/>
    </font>
    <font>
      <b/>
      <sz val="11"/>
      <color rgb="FFFFFF00"/>
      <name val="Arial Black"/>
      <family val="2"/>
    </font>
    <font>
      <sz val="17"/>
      <color theme="0"/>
      <name val="Arial Black"/>
      <family val="2"/>
    </font>
    <font>
      <b/>
      <sz val="11"/>
      <color theme="0"/>
      <name val="Arial"/>
      <family val="2"/>
    </font>
  </fonts>
  <fills count="12">
    <fill>
      <patternFill patternType="none"/>
    </fill>
    <fill>
      <patternFill patternType="gray125"/>
    </fill>
    <fill>
      <patternFill patternType="solid">
        <fgColor theme="7" tint="0.79998168889431442"/>
        <bgColor indexed="64"/>
      </patternFill>
    </fill>
    <fill>
      <patternFill patternType="solid">
        <fgColor theme="3" tint="9.9978637043366805E-2"/>
        <bgColor indexed="64"/>
      </patternFill>
    </fill>
    <fill>
      <patternFill patternType="solid">
        <fgColor theme="2"/>
        <bgColor indexed="64"/>
      </patternFill>
    </fill>
    <fill>
      <patternFill patternType="solid">
        <fgColor theme="2" tint="-0.89999084444715716"/>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rgb="FF002060"/>
        <bgColor indexed="64"/>
      </patternFill>
    </fill>
    <fill>
      <patternFill patternType="solid">
        <fgColor theme="4" tint="0.79998168889431442"/>
        <bgColor theme="4" tint="0.79998168889431442"/>
      </patternFill>
    </fill>
    <fill>
      <patternFill patternType="solid">
        <fgColor rgb="FFFFFF00"/>
        <bgColor indexed="64"/>
      </patternFill>
    </fill>
  </fills>
  <borders count="15">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54">
    <xf numFmtId="0" fontId="0" fillId="0" borderId="0" xfId="0"/>
    <xf numFmtId="0" fontId="0" fillId="2" borderId="0" xfId="0" applyFill="1"/>
    <xf numFmtId="0" fontId="0" fillId="3" borderId="0" xfId="0" applyFill="1"/>
    <xf numFmtId="0" fontId="1" fillId="3" borderId="0" xfId="0" applyFont="1" applyFill="1" applyAlignment="1">
      <alignment horizontal="center" vertical="center"/>
    </xf>
    <xf numFmtId="0" fontId="0" fillId="0" borderId="0" xfId="0" applyAlignment="1">
      <alignment horizontal="center"/>
    </xf>
    <xf numFmtId="0" fontId="0" fillId="4" borderId="0" xfId="0" applyFill="1"/>
    <xf numFmtId="0" fontId="3" fillId="4" borderId="0" xfId="0" applyFont="1" applyFill="1"/>
    <xf numFmtId="0" fontId="3" fillId="4" borderId="0" xfId="0" applyFont="1" applyFill="1" applyAlignment="1">
      <alignment horizontal="center"/>
    </xf>
    <xf numFmtId="0" fontId="0" fillId="0" borderId="3" xfId="0" applyBorder="1"/>
    <xf numFmtId="0" fontId="0" fillId="0" borderId="3" xfId="0" applyBorder="1" applyAlignment="1">
      <alignment horizontal="center"/>
    </xf>
    <xf numFmtId="0" fontId="5" fillId="6" borderId="4" xfId="0" applyFont="1" applyFill="1" applyBorder="1" applyAlignment="1">
      <alignment horizontal="center"/>
    </xf>
    <xf numFmtId="0" fontId="0" fillId="8" borderId="0" xfId="0" applyFill="1"/>
    <xf numFmtId="0" fontId="8" fillId="8" borderId="0" xfId="0" applyFont="1" applyFill="1" applyAlignment="1">
      <alignment horizontal="right"/>
    </xf>
    <xf numFmtId="0" fontId="6" fillId="7" borderId="4" xfId="0" applyFont="1" applyFill="1" applyBorder="1" applyProtection="1">
      <protection locked="0"/>
    </xf>
    <xf numFmtId="0" fontId="6" fillId="7" borderId="4" xfId="0" applyFont="1" applyFill="1" applyBorder="1"/>
    <xf numFmtId="22" fontId="0" fillId="0" borderId="0" xfId="0" applyNumberFormat="1"/>
    <xf numFmtId="0" fontId="0" fillId="0" borderId="2" xfId="0" applyBorder="1"/>
    <xf numFmtId="0" fontId="0" fillId="0" borderId="4" xfId="0" applyBorder="1"/>
    <xf numFmtId="0" fontId="0" fillId="0" borderId="4" xfId="0" applyBorder="1" applyAlignment="1">
      <alignment horizontal="center"/>
    </xf>
    <xf numFmtId="0" fontId="5" fillId="7" borderId="4" xfId="0" applyFont="1" applyFill="1" applyBorder="1" applyAlignment="1">
      <alignment horizontal="center"/>
    </xf>
    <xf numFmtId="22" fontId="0" fillId="8" borderId="0" xfId="0" applyNumberFormat="1" applyFill="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6" fillId="7" borderId="4" xfId="0" applyFont="1" applyFill="1" applyBorder="1" applyAlignment="1">
      <alignment horizontal="center"/>
    </xf>
    <xf numFmtId="164" fontId="6" fillId="7" borderId="10" xfId="0" applyNumberFormat="1" applyFont="1" applyFill="1" applyBorder="1"/>
    <xf numFmtId="0" fontId="6" fillId="7" borderId="10" xfId="0" applyFont="1" applyFill="1" applyBorder="1"/>
    <xf numFmtId="164" fontId="6" fillId="7" borderId="2" xfId="0" applyNumberFormat="1" applyFont="1" applyFill="1" applyBorder="1" applyProtection="1">
      <protection locked="0"/>
    </xf>
    <xf numFmtId="0" fontId="6" fillId="7" borderId="2" xfId="0" applyFont="1" applyFill="1" applyBorder="1" applyProtection="1">
      <protection locked="0"/>
    </xf>
    <xf numFmtId="164" fontId="6" fillId="7" borderId="4" xfId="0" applyNumberFormat="1" applyFont="1" applyFill="1" applyBorder="1"/>
    <xf numFmtId="0" fontId="6" fillId="7" borderId="8" xfId="0" applyFont="1" applyFill="1" applyBorder="1" applyAlignment="1">
      <alignment horizontal="center"/>
    </xf>
    <xf numFmtId="0" fontId="6" fillId="7" borderId="11" xfId="0" applyFont="1" applyFill="1" applyBorder="1" applyAlignment="1">
      <alignment horizontal="center"/>
    </xf>
    <xf numFmtId="0" fontId="6" fillId="7" borderId="9" xfId="0" applyFont="1" applyFill="1" applyBorder="1"/>
    <xf numFmtId="0" fontId="10" fillId="6" borderId="0" xfId="0" applyFont="1" applyFill="1" applyAlignment="1">
      <alignment horizontal="center"/>
    </xf>
    <xf numFmtId="0" fontId="10" fillId="6" borderId="5" xfId="0" applyFont="1" applyFill="1" applyBorder="1" applyAlignment="1">
      <alignment horizontal="center"/>
    </xf>
    <xf numFmtId="0" fontId="0" fillId="10" borderId="11" xfId="0" applyFill="1" applyBorder="1"/>
    <xf numFmtId="0" fontId="0" fillId="10" borderId="10" xfId="0" applyFill="1" applyBorder="1"/>
    <xf numFmtId="14" fontId="0" fillId="0" borderId="0" xfId="0" applyNumberFormat="1"/>
    <xf numFmtId="0" fontId="0" fillId="0" borderId="12" xfId="0" applyBorder="1"/>
    <xf numFmtId="0" fontId="0" fillId="0" borderId="14" xfId="0" applyBorder="1"/>
    <xf numFmtId="0" fontId="0" fillId="0" borderId="13" xfId="0" applyBorder="1" applyAlignment="1">
      <alignment horizontal="center"/>
    </xf>
    <xf numFmtId="0" fontId="5" fillId="6" borderId="8" xfId="0" applyFont="1" applyFill="1" applyBorder="1" applyAlignment="1">
      <alignment horizontal="center"/>
    </xf>
    <xf numFmtId="0" fontId="5" fillId="6" borderId="2" xfId="0" applyFont="1" applyFill="1" applyBorder="1" applyAlignment="1">
      <alignment horizontal="center"/>
    </xf>
    <xf numFmtId="0" fontId="5" fillId="6" borderId="9" xfId="0" applyFont="1" applyFill="1" applyBorder="1" applyAlignment="1">
      <alignment horizontal="center"/>
    </xf>
    <xf numFmtId="0" fontId="0" fillId="0" borderId="10" xfId="0" applyBorder="1" applyAlignment="1">
      <alignment horizontal="center"/>
    </xf>
    <xf numFmtId="0" fontId="0" fillId="11" borderId="0" xfId="0" applyFill="1"/>
    <xf numFmtId="0" fontId="10" fillId="0" borderId="0" xfId="0" applyFont="1" applyAlignment="1">
      <alignment horizontal="center"/>
    </xf>
    <xf numFmtId="0" fontId="2" fillId="3" borderId="0" xfId="0" applyFont="1" applyFill="1" applyAlignment="1">
      <alignment horizontal="center" vertical="center"/>
    </xf>
    <xf numFmtId="0" fontId="4" fillId="5" borderId="1" xfId="0" applyFont="1" applyFill="1" applyBorder="1" applyAlignment="1">
      <alignment horizontal="center" vertical="center"/>
    </xf>
    <xf numFmtId="0" fontId="4" fillId="5" borderId="0" xfId="0" applyFont="1" applyFill="1" applyAlignment="1">
      <alignment horizontal="center" vertical="center"/>
    </xf>
    <xf numFmtId="0" fontId="7" fillId="9" borderId="0" xfId="0" applyFont="1" applyFill="1" applyAlignment="1">
      <alignment horizontal="center" vertical="center"/>
    </xf>
    <xf numFmtId="0" fontId="9" fillId="9" borderId="0" xfId="0" applyFont="1" applyFill="1" applyAlignment="1">
      <alignment horizontal="center" vertical="center"/>
    </xf>
  </cellXfs>
  <cellStyles count="1">
    <cellStyle name="Normal" xfId="0" builtinId="0"/>
  </cellStyles>
  <dxfs count="22">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tx>
            <c:strRef>
              <c:f>Stock_details!$F$11</c:f>
              <c:strCache>
                <c:ptCount val="1"/>
                <c:pt idx="0">
                  <c:v>OPENING BAL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multiLvlStrRef>
              <c:f>Stock_details!$D$12:$E$19</c:f>
              <c:multiLvlStrCache>
                <c:ptCount val="8"/>
                <c:lvl>
                  <c:pt idx="0">
                    <c:v>Keyboard</c:v>
                  </c:pt>
                  <c:pt idx="1">
                    <c:v>Mouse</c:v>
                  </c:pt>
                  <c:pt idx="2">
                    <c:v>Monitor</c:v>
                  </c:pt>
                  <c:pt idx="3">
                    <c:v>Laptop</c:v>
                  </c:pt>
                  <c:pt idx="4">
                    <c:v>Hard Disk</c:v>
                  </c:pt>
                  <c:pt idx="5">
                    <c:v>COPY</c:v>
                  </c:pt>
                  <c:pt idx="6">
                    <c:v>Pen</c:v>
                  </c:pt>
                  <c:pt idx="7">
                    <c:v>lizard</c:v>
                  </c:pt>
                </c:lvl>
                <c:lvl>
                  <c:pt idx="0">
                    <c:v>1</c:v>
                  </c:pt>
                  <c:pt idx="1">
                    <c:v>2</c:v>
                  </c:pt>
                  <c:pt idx="2">
                    <c:v>3</c:v>
                  </c:pt>
                  <c:pt idx="3">
                    <c:v>4</c:v>
                  </c:pt>
                  <c:pt idx="4">
                    <c:v>5</c:v>
                  </c:pt>
                  <c:pt idx="5">
                    <c:v>6</c:v>
                  </c:pt>
                  <c:pt idx="6">
                    <c:v>7</c:v>
                  </c:pt>
                  <c:pt idx="7">
                    <c:v>8</c:v>
                  </c:pt>
                </c:lvl>
              </c:multiLvlStrCache>
            </c:multiLvlStrRef>
          </c:cat>
          <c:val>
            <c:numRef>
              <c:f>Stock_details!$F$12:$F$19</c:f>
              <c:numCache>
                <c:formatCode>General</c:formatCode>
                <c:ptCount val="8"/>
                <c:pt idx="0">
                  <c:v>150</c:v>
                </c:pt>
                <c:pt idx="1">
                  <c:v>200</c:v>
                </c:pt>
                <c:pt idx="2">
                  <c:v>8120</c:v>
                </c:pt>
                <c:pt idx="3">
                  <c:v>5000</c:v>
                </c:pt>
                <c:pt idx="4">
                  <c:v>100</c:v>
                </c:pt>
                <c:pt idx="5">
                  <c:v>122</c:v>
                </c:pt>
                <c:pt idx="6">
                  <c:v>111</c:v>
                </c:pt>
                <c:pt idx="7">
                  <c:v>1000</c:v>
                </c:pt>
              </c:numCache>
            </c:numRef>
          </c:val>
          <c:extLst>
            <c:ext xmlns:c16="http://schemas.microsoft.com/office/drawing/2014/chart" uri="{C3380CC4-5D6E-409C-BE32-E72D297353CC}">
              <c16:uniqueId val="{00000000-07CC-43F5-A77B-B279BD5B2679}"/>
            </c:ext>
          </c:extLst>
        </c:ser>
        <c:ser>
          <c:idx val="1"/>
          <c:order val="1"/>
          <c:tx>
            <c:strRef>
              <c:f>Stock_details!$G$11</c:f>
              <c:strCache>
                <c:ptCount val="1"/>
                <c:pt idx="0">
                  <c:v>PURCHASE BAL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multiLvlStrRef>
              <c:f>Stock_details!$D$12:$E$19</c:f>
              <c:multiLvlStrCache>
                <c:ptCount val="8"/>
                <c:lvl>
                  <c:pt idx="0">
                    <c:v>Keyboard</c:v>
                  </c:pt>
                  <c:pt idx="1">
                    <c:v>Mouse</c:v>
                  </c:pt>
                  <c:pt idx="2">
                    <c:v>Monitor</c:v>
                  </c:pt>
                  <c:pt idx="3">
                    <c:v>Laptop</c:v>
                  </c:pt>
                  <c:pt idx="4">
                    <c:v>Hard Disk</c:v>
                  </c:pt>
                  <c:pt idx="5">
                    <c:v>COPY</c:v>
                  </c:pt>
                  <c:pt idx="6">
                    <c:v>Pen</c:v>
                  </c:pt>
                  <c:pt idx="7">
                    <c:v>lizard</c:v>
                  </c:pt>
                </c:lvl>
                <c:lvl>
                  <c:pt idx="0">
                    <c:v>1</c:v>
                  </c:pt>
                  <c:pt idx="1">
                    <c:v>2</c:v>
                  </c:pt>
                  <c:pt idx="2">
                    <c:v>3</c:v>
                  </c:pt>
                  <c:pt idx="3">
                    <c:v>4</c:v>
                  </c:pt>
                  <c:pt idx="4">
                    <c:v>5</c:v>
                  </c:pt>
                  <c:pt idx="5">
                    <c:v>6</c:v>
                  </c:pt>
                  <c:pt idx="6">
                    <c:v>7</c:v>
                  </c:pt>
                  <c:pt idx="7">
                    <c:v>8</c:v>
                  </c:pt>
                </c:lvl>
              </c:multiLvlStrCache>
            </c:multiLvlStrRef>
          </c:cat>
          <c:val>
            <c:numRef>
              <c:f>Stock_details!$G$12:$G$19</c:f>
              <c:numCache>
                <c:formatCode>General</c:formatCode>
                <c:ptCount val="8"/>
                <c:pt idx="0">
                  <c:v>98030</c:v>
                </c:pt>
                <c:pt idx="1">
                  <c:v>20</c:v>
                </c:pt>
                <c:pt idx="2">
                  <c:v>100044</c:v>
                </c:pt>
                <c:pt idx="3">
                  <c:v>99</c:v>
                </c:pt>
                <c:pt idx="4">
                  <c:v>21</c:v>
                </c:pt>
                <c:pt idx="5">
                  <c:v>7</c:v>
                </c:pt>
                <c:pt idx="6">
                  <c:v>109112</c:v>
                </c:pt>
                <c:pt idx="7">
                  <c:v>1</c:v>
                </c:pt>
              </c:numCache>
            </c:numRef>
          </c:val>
          <c:extLst>
            <c:ext xmlns:c16="http://schemas.microsoft.com/office/drawing/2014/chart" uri="{C3380CC4-5D6E-409C-BE32-E72D297353CC}">
              <c16:uniqueId val="{00000001-07CC-43F5-A77B-B279BD5B2679}"/>
            </c:ext>
          </c:extLst>
        </c:ser>
        <c:ser>
          <c:idx val="2"/>
          <c:order val="2"/>
          <c:tx>
            <c:strRef>
              <c:f>Stock_details!$H$11</c:f>
              <c:strCache>
                <c:ptCount val="1"/>
                <c:pt idx="0">
                  <c:v>SALES BALANCE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multiLvlStrRef>
              <c:f>Stock_details!$D$12:$E$19</c:f>
              <c:multiLvlStrCache>
                <c:ptCount val="8"/>
                <c:lvl>
                  <c:pt idx="0">
                    <c:v>Keyboard</c:v>
                  </c:pt>
                  <c:pt idx="1">
                    <c:v>Mouse</c:v>
                  </c:pt>
                  <c:pt idx="2">
                    <c:v>Monitor</c:v>
                  </c:pt>
                  <c:pt idx="3">
                    <c:v>Laptop</c:v>
                  </c:pt>
                  <c:pt idx="4">
                    <c:v>Hard Disk</c:v>
                  </c:pt>
                  <c:pt idx="5">
                    <c:v>COPY</c:v>
                  </c:pt>
                  <c:pt idx="6">
                    <c:v>Pen</c:v>
                  </c:pt>
                  <c:pt idx="7">
                    <c:v>lizard</c:v>
                  </c:pt>
                </c:lvl>
                <c:lvl>
                  <c:pt idx="0">
                    <c:v>1</c:v>
                  </c:pt>
                  <c:pt idx="1">
                    <c:v>2</c:v>
                  </c:pt>
                  <c:pt idx="2">
                    <c:v>3</c:v>
                  </c:pt>
                  <c:pt idx="3">
                    <c:v>4</c:v>
                  </c:pt>
                  <c:pt idx="4">
                    <c:v>5</c:v>
                  </c:pt>
                  <c:pt idx="5">
                    <c:v>6</c:v>
                  </c:pt>
                  <c:pt idx="6">
                    <c:v>7</c:v>
                  </c:pt>
                  <c:pt idx="7">
                    <c:v>8</c:v>
                  </c:pt>
                </c:lvl>
              </c:multiLvlStrCache>
            </c:multiLvlStrRef>
          </c:cat>
          <c:val>
            <c:numRef>
              <c:f>Stock_details!$H$12:$H$19</c:f>
              <c:numCache>
                <c:formatCode>General</c:formatCode>
                <c:ptCount val="8"/>
                <c:pt idx="0">
                  <c:v>88030</c:v>
                </c:pt>
                <c:pt idx="1">
                  <c:v>80</c:v>
                </c:pt>
                <c:pt idx="2">
                  <c:v>103248</c:v>
                </c:pt>
                <c:pt idx="3">
                  <c:v>88</c:v>
                </c:pt>
                <c:pt idx="4">
                  <c:v>22</c:v>
                </c:pt>
                <c:pt idx="5">
                  <c:v>0</c:v>
                </c:pt>
                <c:pt idx="6">
                  <c:v>99065</c:v>
                </c:pt>
                <c:pt idx="7">
                  <c:v>800</c:v>
                </c:pt>
              </c:numCache>
            </c:numRef>
          </c:val>
          <c:extLst>
            <c:ext xmlns:c16="http://schemas.microsoft.com/office/drawing/2014/chart" uri="{C3380CC4-5D6E-409C-BE32-E72D297353CC}">
              <c16:uniqueId val="{00000002-07CC-43F5-A77B-B279BD5B2679}"/>
            </c:ext>
          </c:extLst>
        </c:ser>
        <c:ser>
          <c:idx val="3"/>
          <c:order val="3"/>
          <c:tx>
            <c:strRef>
              <c:f>Stock_details!$I$11</c:f>
              <c:strCache>
                <c:ptCount val="1"/>
                <c:pt idx="0">
                  <c:v>BALANCE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multiLvlStrRef>
              <c:f>Stock_details!$D$12:$E$19</c:f>
              <c:multiLvlStrCache>
                <c:ptCount val="8"/>
                <c:lvl>
                  <c:pt idx="0">
                    <c:v>Keyboard</c:v>
                  </c:pt>
                  <c:pt idx="1">
                    <c:v>Mouse</c:v>
                  </c:pt>
                  <c:pt idx="2">
                    <c:v>Monitor</c:v>
                  </c:pt>
                  <c:pt idx="3">
                    <c:v>Laptop</c:v>
                  </c:pt>
                  <c:pt idx="4">
                    <c:v>Hard Disk</c:v>
                  </c:pt>
                  <c:pt idx="5">
                    <c:v>COPY</c:v>
                  </c:pt>
                  <c:pt idx="6">
                    <c:v>Pen</c:v>
                  </c:pt>
                  <c:pt idx="7">
                    <c:v>lizard</c:v>
                  </c:pt>
                </c:lvl>
                <c:lvl>
                  <c:pt idx="0">
                    <c:v>1</c:v>
                  </c:pt>
                  <c:pt idx="1">
                    <c:v>2</c:v>
                  </c:pt>
                  <c:pt idx="2">
                    <c:v>3</c:v>
                  </c:pt>
                  <c:pt idx="3">
                    <c:v>4</c:v>
                  </c:pt>
                  <c:pt idx="4">
                    <c:v>5</c:v>
                  </c:pt>
                  <c:pt idx="5">
                    <c:v>6</c:v>
                  </c:pt>
                  <c:pt idx="6">
                    <c:v>7</c:v>
                  </c:pt>
                  <c:pt idx="7">
                    <c:v>8</c:v>
                  </c:pt>
                </c:lvl>
              </c:multiLvlStrCache>
            </c:multiLvlStrRef>
          </c:cat>
          <c:val>
            <c:numRef>
              <c:f>Stock_details!$I$12:$I$19</c:f>
              <c:numCache>
                <c:formatCode>General</c:formatCode>
                <c:ptCount val="8"/>
                <c:pt idx="0">
                  <c:v>10150</c:v>
                </c:pt>
                <c:pt idx="1">
                  <c:v>140</c:v>
                </c:pt>
                <c:pt idx="2">
                  <c:v>4916</c:v>
                </c:pt>
                <c:pt idx="3">
                  <c:v>5011</c:v>
                </c:pt>
                <c:pt idx="4">
                  <c:v>99</c:v>
                </c:pt>
                <c:pt idx="5">
                  <c:v>129</c:v>
                </c:pt>
                <c:pt idx="6">
                  <c:v>10158</c:v>
                </c:pt>
                <c:pt idx="7">
                  <c:v>201</c:v>
                </c:pt>
              </c:numCache>
            </c:numRef>
          </c:val>
          <c:extLst>
            <c:ext xmlns:c16="http://schemas.microsoft.com/office/drawing/2014/chart" uri="{C3380CC4-5D6E-409C-BE32-E72D297353CC}">
              <c16:uniqueId val="{00000003-07CC-43F5-A77B-B279BD5B2679}"/>
            </c:ext>
          </c:extLst>
        </c:ser>
        <c:dLbls>
          <c:showLegendKey val="0"/>
          <c:showVal val="0"/>
          <c:showCatName val="0"/>
          <c:showSerName val="0"/>
          <c:showPercent val="0"/>
          <c:showBubbleSize val="0"/>
        </c:dLbls>
        <c:gapWidth val="100"/>
        <c:overlap val="-24"/>
        <c:axId val="102238224"/>
        <c:axId val="102237744"/>
      </c:barChart>
      <c:catAx>
        <c:axId val="10223822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2237744"/>
        <c:crosses val="autoZero"/>
        <c:auto val="1"/>
        <c:lblAlgn val="ctr"/>
        <c:lblOffset val="100"/>
        <c:noMultiLvlLbl val="0"/>
      </c:catAx>
      <c:valAx>
        <c:axId val="10223774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2238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3" Type="http://schemas.openxmlformats.org/officeDocument/2006/relationships/hyperlink" Target="#sales_detail!A1"/><Relationship Id="rId7" Type="http://schemas.openxmlformats.org/officeDocument/2006/relationships/image" Target="../media/image2.svg"/><Relationship Id="rId12" Type="http://schemas.openxmlformats.org/officeDocument/2006/relationships/image" Target="../media/image7.png"/><Relationship Id="rId2" Type="http://schemas.openxmlformats.org/officeDocument/2006/relationships/hyperlink" Target="#'purchase entry'!A1"/><Relationship Id="rId1" Type="http://schemas.openxmlformats.org/officeDocument/2006/relationships/hyperlink" Target="#'sales entry'!A1"/><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hyperlink" Target="#Stock_details!A1"/><Relationship Id="rId10" Type="http://schemas.openxmlformats.org/officeDocument/2006/relationships/image" Target="../media/image5.png"/><Relationship Id="rId4" Type="http://schemas.openxmlformats.org/officeDocument/2006/relationships/hyperlink" Target="#purchdetail!A1"/><Relationship Id="rId9" Type="http://schemas.openxmlformats.org/officeDocument/2006/relationships/image" Target="../media/image4.svg"/><Relationship Id="rId1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Sheet1!A1"/></Relationships>
</file>

<file path=xl/drawings/_rels/drawing3.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Sheet1!A1"/></Relationships>
</file>

<file path=xl/drawings/_rels/drawing4.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Sheet1!A1"/></Relationships>
</file>

<file path=xl/drawings/_rels/drawing5.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Sheet1!A1"/></Relationships>
</file>

<file path=xl/drawings/_rels/drawing6.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Sheet1!A1"/></Relationships>
</file>

<file path=xl/drawings/drawing1.xml><?xml version="1.0" encoding="utf-8"?>
<xdr:wsDr xmlns:xdr="http://schemas.openxmlformats.org/drawingml/2006/spreadsheetDrawing" xmlns:a="http://schemas.openxmlformats.org/drawingml/2006/main">
  <xdr:twoCellAnchor>
    <xdr:from>
      <xdr:col>1</xdr:col>
      <xdr:colOff>85452</xdr:colOff>
      <xdr:row>0</xdr:row>
      <xdr:rowOff>492422</xdr:rowOff>
    </xdr:from>
    <xdr:to>
      <xdr:col>1</xdr:col>
      <xdr:colOff>1185745</xdr:colOff>
      <xdr:row>4</xdr:row>
      <xdr:rowOff>50413</xdr:rowOff>
    </xdr:to>
    <xdr:sp macro="" textlink="">
      <xdr:nvSpPr>
        <xdr:cNvPr id="2" name="Oval 1">
          <a:hlinkClick xmlns:r="http://schemas.openxmlformats.org/officeDocument/2006/relationships" r:id="rId1"/>
          <a:extLst>
            <a:ext uri="{FF2B5EF4-FFF2-40B4-BE49-F238E27FC236}">
              <a16:creationId xmlns:a16="http://schemas.microsoft.com/office/drawing/2014/main" id="{A9C4DF26-F78B-7DE9-317F-5E0AA7EF3834}"/>
            </a:ext>
          </a:extLst>
        </xdr:cNvPr>
        <xdr:cNvSpPr/>
      </xdr:nvSpPr>
      <xdr:spPr>
        <a:xfrm>
          <a:off x="515151" y="492422"/>
          <a:ext cx="1100293" cy="675209"/>
        </a:xfrm>
        <a:prstGeom prst="ellipse">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solidFill>
                <a:schemeClr val="bg1"/>
              </a:solidFill>
            </a:rPr>
            <a:t>SALES</a:t>
          </a:r>
          <a:endParaRPr lang="en-US" sz="1200" b="1" u="sng" baseline="0">
            <a:solidFill>
              <a:schemeClr val="bg1"/>
            </a:solidFill>
          </a:endParaRPr>
        </a:p>
        <a:p>
          <a:pPr algn="ctr"/>
          <a:r>
            <a:rPr lang="en-US" sz="1200" b="1" u="sng" baseline="0">
              <a:solidFill>
                <a:schemeClr val="bg1"/>
              </a:solidFill>
            </a:rPr>
            <a:t>ENTRY</a:t>
          </a:r>
          <a:endParaRPr lang="en-US" sz="1200" b="1" u="sng">
            <a:solidFill>
              <a:schemeClr val="bg1"/>
            </a:solidFill>
          </a:endParaRPr>
        </a:p>
        <a:p>
          <a:pPr algn="l"/>
          <a:endParaRPr lang="en-US" sz="1100"/>
        </a:p>
      </xdr:txBody>
    </xdr:sp>
    <xdr:clientData/>
  </xdr:twoCellAnchor>
  <xdr:twoCellAnchor>
    <xdr:from>
      <xdr:col>1</xdr:col>
      <xdr:colOff>53393</xdr:colOff>
      <xdr:row>5</xdr:row>
      <xdr:rowOff>20647</xdr:rowOff>
    </xdr:from>
    <xdr:to>
      <xdr:col>1</xdr:col>
      <xdr:colOff>1153686</xdr:colOff>
      <xdr:row>8</xdr:row>
      <xdr:rowOff>138932</xdr:rowOff>
    </xdr:to>
    <xdr:sp macro="" textlink="">
      <xdr:nvSpPr>
        <xdr:cNvPr id="3" name="Oval 2">
          <a:hlinkClick xmlns:r="http://schemas.openxmlformats.org/officeDocument/2006/relationships" r:id="rId2"/>
          <a:extLst>
            <a:ext uri="{FF2B5EF4-FFF2-40B4-BE49-F238E27FC236}">
              <a16:creationId xmlns:a16="http://schemas.microsoft.com/office/drawing/2014/main" id="{E513B1C0-B55D-BB48-1CEA-F2F90BE6511D}"/>
            </a:ext>
          </a:extLst>
        </xdr:cNvPr>
        <xdr:cNvSpPr/>
      </xdr:nvSpPr>
      <xdr:spPr>
        <a:xfrm>
          <a:off x="487526" y="1303606"/>
          <a:ext cx="1100293" cy="662571"/>
        </a:xfrm>
        <a:prstGeom prst="ellipse">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PURCH</a:t>
          </a:r>
        </a:p>
        <a:p>
          <a:pPr algn="ctr"/>
          <a:r>
            <a:rPr lang="en-US" sz="1200" b="1" u="sng"/>
            <a:t>ENTRY</a:t>
          </a:r>
        </a:p>
      </xdr:txBody>
    </xdr:sp>
    <xdr:clientData/>
  </xdr:twoCellAnchor>
  <xdr:twoCellAnchor>
    <xdr:from>
      <xdr:col>1</xdr:col>
      <xdr:colOff>63623</xdr:colOff>
      <xdr:row>9</xdr:row>
      <xdr:rowOff>118034</xdr:rowOff>
    </xdr:from>
    <xdr:to>
      <xdr:col>1</xdr:col>
      <xdr:colOff>1163916</xdr:colOff>
      <xdr:row>13</xdr:row>
      <xdr:rowOff>49554</xdr:rowOff>
    </xdr:to>
    <xdr:sp macro="" textlink="">
      <xdr:nvSpPr>
        <xdr:cNvPr id="4" name="Oval 3">
          <a:hlinkClick xmlns:r="http://schemas.openxmlformats.org/officeDocument/2006/relationships" r:id="rId3"/>
          <a:extLst>
            <a:ext uri="{FF2B5EF4-FFF2-40B4-BE49-F238E27FC236}">
              <a16:creationId xmlns:a16="http://schemas.microsoft.com/office/drawing/2014/main" id="{A60F542B-C40A-5F03-4186-E0AC8DF627C2}"/>
            </a:ext>
          </a:extLst>
        </xdr:cNvPr>
        <xdr:cNvSpPr/>
      </xdr:nvSpPr>
      <xdr:spPr>
        <a:xfrm>
          <a:off x="493182" y="2172446"/>
          <a:ext cx="1100293" cy="678579"/>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SALES</a:t>
          </a:r>
        </a:p>
        <a:p>
          <a:pPr algn="ctr"/>
          <a:r>
            <a:rPr lang="en-US" sz="1200" b="1" u="sng"/>
            <a:t>DETAIL</a:t>
          </a:r>
        </a:p>
      </xdr:txBody>
    </xdr:sp>
    <xdr:clientData/>
  </xdr:twoCellAnchor>
  <xdr:twoCellAnchor>
    <xdr:from>
      <xdr:col>1</xdr:col>
      <xdr:colOff>47934</xdr:colOff>
      <xdr:row>14</xdr:row>
      <xdr:rowOff>2738</xdr:rowOff>
    </xdr:from>
    <xdr:to>
      <xdr:col>1</xdr:col>
      <xdr:colOff>1148227</xdr:colOff>
      <xdr:row>17</xdr:row>
      <xdr:rowOff>121023</xdr:rowOff>
    </xdr:to>
    <xdr:sp macro="" textlink="">
      <xdr:nvSpPr>
        <xdr:cNvPr id="5" name="Oval 4">
          <a:hlinkClick xmlns:r="http://schemas.openxmlformats.org/officeDocument/2006/relationships" r:id="rId4"/>
          <a:extLst>
            <a:ext uri="{FF2B5EF4-FFF2-40B4-BE49-F238E27FC236}">
              <a16:creationId xmlns:a16="http://schemas.microsoft.com/office/drawing/2014/main" id="{3691411F-6909-5BD4-B13A-388C3A79C5C6}"/>
            </a:ext>
          </a:extLst>
        </xdr:cNvPr>
        <xdr:cNvSpPr/>
      </xdr:nvSpPr>
      <xdr:spPr>
        <a:xfrm>
          <a:off x="477493" y="2990973"/>
          <a:ext cx="1100293" cy="678579"/>
        </a:xfrm>
        <a:prstGeom prst="ellipse">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PURCH</a:t>
          </a:r>
        </a:p>
        <a:p>
          <a:pPr algn="ctr"/>
          <a:r>
            <a:rPr lang="en-US" sz="1200" b="1" u="sng"/>
            <a:t>DETAIL</a:t>
          </a:r>
        </a:p>
      </xdr:txBody>
    </xdr:sp>
    <xdr:clientData/>
  </xdr:twoCellAnchor>
  <xdr:twoCellAnchor>
    <xdr:from>
      <xdr:col>1</xdr:col>
      <xdr:colOff>90561</xdr:colOff>
      <xdr:row>18</xdr:row>
      <xdr:rowOff>106604</xdr:rowOff>
    </xdr:from>
    <xdr:to>
      <xdr:col>1</xdr:col>
      <xdr:colOff>1190854</xdr:colOff>
      <xdr:row>22</xdr:row>
      <xdr:rowOff>38124</xdr:rowOff>
    </xdr:to>
    <xdr:sp macro="" textlink="">
      <xdr:nvSpPr>
        <xdr:cNvPr id="6" name="Oval 5">
          <a:hlinkClick xmlns:r="http://schemas.openxmlformats.org/officeDocument/2006/relationships" r:id="rId5"/>
          <a:extLst>
            <a:ext uri="{FF2B5EF4-FFF2-40B4-BE49-F238E27FC236}">
              <a16:creationId xmlns:a16="http://schemas.microsoft.com/office/drawing/2014/main" id="{34376DE1-7391-A61E-B0C9-CE52C07EFB6F}"/>
            </a:ext>
          </a:extLst>
        </xdr:cNvPr>
        <xdr:cNvSpPr/>
      </xdr:nvSpPr>
      <xdr:spPr>
        <a:xfrm>
          <a:off x="524694" y="3748135"/>
          <a:ext cx="1100293" cy="657234"/>
        </a:xfrm>
        <a:prstGeom prst="ellipse">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STOCK</a:t>
          </a:r>
        </a:p>
        <a:p>
          <a:pPr algn="ctr"/>
          <a:r>
            <a:rPr lang="en-US" sz="1200" b="1" u="sng"/>
            <a:t>DETAILS</a:t>
          </a:r>
        </a:p>
      </xdr:txBody>
    </xdr:sp>
    <xdr:clientData/>
  </xdr:twoCellAnchor>
  <xdr:twoCellAnchor>
    <xdr:from>
      <xdr:col>2</xdr:col>
      <xdr:colOff>171622</xdr:colOff>
      <xdr:row>1</xdr:row>
      <xdr:rowOff>102972</xdr:rowOff>
    </xdr:from>
    <xdr:to>
      <xdr:col>4</xdr:col>
      <xdr:colOff>583514</xdr:colOff>
      <xdr:row>7</xdr:row>
      <xdr:rowOff>60067</xdr:rowOff>
    </xdr:to>
    <xdr:sp macro="" textlink="">
      <xdr:nvSpPr>
        <xdr:cNvPr id="7" name="Rectangle: Rounded Corners 6">
          <a:extLst>
            <a:ext uri="{FF2B5EF4-FFF2-40B4-BE49-F238E27FC236}">
              <a16:creationId xmlns:a16="http://schemas.microsoft.com/office/drawing/2014/main" id="{160FB5FB-5B16-891D-7B58-21A5FA337454}"/>
            </a:ext>
          </a:extLst>
        </xdr:cNvPr>
        <xdr:cNvSpPr/>
      </xdr:nvSpPr>
      <xdr:spPr>
        <a:xfrm>
          <a:off x="1862095" y="660742"/>
          <a:ext cx="1630405" cy="1038311"/>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223146</xdr:colOff>
      <xdr:row>1</xdr:row>
      <xdr:rowOff>152400</xdr:rowOff>
    </xdr:from>
    <xdr:to>
      <xdr:col>5</xdr:col>
      <xdr:colOff>25781</xdr:colOff>
      <xdr:row>7</xdr:row>
      <xdr:rowOff>109495</xdr:rowOff>
    </xdr:to>
    <xdr:sp macro="" textlink="">
      <xdr:nvSpPr>
        <xdr:cNvPr id="8" name="Rectangle: Rounded Corners 7">
          <a:extLst>
            <a:ext uri="{FF2B5EF4-FFF2-40B4-BE49-F238E27FC236}">
              <a16:creationId xmlns:a16="http://schemas.microsoft.com/office/drawing/2014/main" id="{0FBBE4BE-2C3F-5EBE-9FBF-5774FEC426B2}"/>
            </a:ext>
          </a:extLst>
        </xdr:cNvPr>
        <xdr:cNvSpPr/>
      </xdr:nvSpPr>
      <xdr:spPr>
        <a:xfrm>
          <a:off x="1909424" y="709789"/>
          <a:ext cx="1622968" cy="1057762"/>
        </a:xfrm>
        <a:prstGeom prst="round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u="sng">
              <a:solidFill>
                <a:schemeClr val="tx1"/>
              </a:solidFill>
            </a:rPr>
            <a:t>OPENING </a:t>
          </a:r>
        </a:p>
        <a:p>
          <a:pPr algn="l"/>
          <a:r>
            <a:rPr lang="en-US" sz="1400" b="1" u="sng">
              <a:solidFill>
                <a:schemeClr val="tx1"/>
              </a:solidFill>
            </a:rPr>
            <a:t>BALANCE</a:t>
          </a:r>
        </a:p>
      </xdr:txBody>
    </xdr:sp>
    <xdr:clientData/>
  </xdr:twoCellAnchor>
  <xdr:twoCellAnchor>
    <xdr:from>
      <xdr:col>5</xdr:col>
      <xdr:colOff>287641</xdr:colOff>
      <xdr:row>1</xdr:row>
      <xdr:rowOff>116018</xdr:rowOff>
    </xdr:from>
    <xdr:to>
      <xdr:col>8</xdr:col>
      <xdr:colOff>90275</xdr:colOff>
      <xdr:row>7</xdr:row>
      <xdr:rowOff>73113</xdr:rowOff>
    </xdr:to>
    <xdr:sp macro="" textlink="">
      <xdr:nvSpPr>
        <xdr:cNvPr id="9" name="Rectangle: Rounded Corners 8">
          <a:extLst>
            <a:ext uri="{FF2B5EF4-FFF2-40B4-BE49-F238E27FC236}">
              <a16:creationId xmlns:a16="http://schemas.microsoft.com/office/drawing/2014/main" id="{2D21E1A4-D711-A82C-300C-03EE24135791}"/>
            </a:ext>
          </a:extLst>
        </xdr:cNvPr>
        <xdr:cNvSpPr/>
      </xdr:nvSpPr>
      <xdr:spPr>
        <a:xfrm>
          <a:off x="3805884" y="673788"/>
          <a:ext cx="1630405" cy="103831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371394</xdr:colOff>
      <xdr:row>1</xdr:row>
      <xdr:rowOff>174027</xdr:rowOff>
    </xdr:from>
    <xdr:to>
      <xdr:col>8</xdr:col>
      <xdr:colOff>174028</xdr:colOff>
      <xdr:row>7</xdr:row>
      <xdr:rowOff>131122</xdr:rowOff>
    </xdr:to>
    <xdr:sp macro="" textlink="">
      <xdr:nvSpPr>
        <xdr:cNvPr id="10" name="Rectangle: Rounded Corners 9">
          <a:extLst>
            <a:ext uri="{FF2B5EF4-FFF2-40B4-BE49-F238E27FC236}">
              <a16:creationId xmlns:a16="http://schemas.microsoft.com/office/drawing/2014/main" id="{6AF0B3D4-D8B6-530C-DEDF-46EE5EDA9EAB}"/>
            </a:ext>
          </a:extLst>
        </xdr:cNvPr>
        <xdr:cNvSpPr/>
      </xdr:nvSpPr>
      <xdr:spPr>
        <a:xfrm>
          <a:off x="3889637" y="731797"/>
          <a:ext cx="1630405" cy="1038311"/>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u="sng">
              <a:solidFill>
                <a:schemeClr val="tx1"/>
              </a:solidFill>
            </a:rPr>
            <a:t>PURCHASE </a:t>
          </a:r>
        </a:p>
        <a:p>
          <a:pPr algn="l"/>
          <a:r>
            <a:rPr lang="en-US" sz="1400" b="1" u="sng">
              <a:solidFill>
                <a:schemeClr val="tx1"/>
              </a:solidFill>
            </a:rPr>
            <a:t>BALANCE</a:t>
          </a:r>
        </a:p>
      </xdr:txBody>
    </xdr:sp>
    <xdr:clientData/>
  </xdr:twoCellAnchor>
  <xdr:twoCellAnchor>
    <xdr:from>
      <xdr:col>8</xdr:col>
      <xdr:colOff>377913</xdr:colOff>
      <xdr:row>1</xdr:row>
      <xdr:rowOff>129062</xdr:rowOff>
    </xdr:from>
    <xdr:to>
      <xdr:col>10</xdr:col>
      <xdr:colOff>789805</xdr:colOff>
      <xdr:row>7</xdr:row>
      <xdr:rowOff>86157</xdr:rowOff>
    </xdr:to>
    <xdr:sp macro="" textlink="">
      <xdr:nvSpPr>
        <xdr:cNvPr id="11" name="Rectangle: Rounded Corners 10">
          <a:extLst>
            <a:ext uri="{FF2B5EF4-FFF2-40B4-BE49-F238E27FC236}">
              <a16:creationId xmlns:a16="http://schemas.microsoft.com/office/drawing/2014/main" id="{C1E8B87A-8AE7-D9FD-DB24-B5F6C1FEA7CD}"/>
            </a:ext>
          </a:extLst>
        </xdr:cNvPr>
        <xdr:cNvSpPr/>
      </xdr:nvSpPr>
      <xdr:spPr>
        <a:xfrm>
          <a:off x="5723927" y="686832"/>
          <a:ext cx="1630405" cy="1038311"/>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444502</xdr:colOff>
      <xdr:row>1</xdr:row>
      <xdr:rowOff>161326</xdr:rowOff>
    </xdr:from>
    <xdr:to>
      <xdr:col>11</xdr:col>
      <xdr:colOff>49772</xdr:colOff>
      <xdr:row>7</xdr:row>
      <xdr:rowOff>118421</xdr:rowOff>
    </xdr:to>
    <xdr:sp macro="" textlink="">
      <xdr:nvSpPr>
        <xdr:cNvPr id="12" name="Rectangle: Rounded Corners 11">
          <a:extLst>
            <a:ext uri="{FF2B5EF4-FFF2-40B4-BE49-F238E27FC236}">
              <a16:creationId xmlns:a16="http://schemas.microsoft.com/office/drawing/2014/main" id="{9642DBB1-6D48-F74D-9A55-A1C3DDE04F58}"/>
            </a:ext>
          </a:extLst>
        </xdr:cNvPr>
        <xdr:cNvSpPr/>
      </xdr:nvSpPr>
      <xdr:spPr>
        <a:xfrm>
          <a:off x="5790516" y="719096"/>
          <a:ext cx="1630405" cy="1038311"/>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u="sng">
              <a:solidFill>
                <a:schemeClr val="tx1"/>
              </a:solidFill>
            </a:rPr>
            <a:t>SALES </a:t>
          </a:r>
        </a:p>
        <a:p>
          <a:pPr algn="l"/>
          <a:r>
            <a:rPr lang="en-US" sz="1400" b="1" u="sng">
              <a:solidFill>
                <a:schemeClr val="tx1"/>
              </a:solidFill>
            </a:rPr>
            <a:t>BALANCE</a:t>
          </a:r>
        </a:p>
      </xdr:txBody>
    </xdr:sp>
    <xdr:clientData/>
  </xdr:twoCellAnchor>
  <xdr:twoCellAnchor>
    <xdr:from>
      <xdr:col>11</xdr:col>
      <xdr:colOff>365212</xdr:colOff>
      <xdr:row>1</xdr:row>
      <xdr:rowOff>142105</xdr:rowOff>
    </xdr:from>
    <xdr:to>
      <xdr:col>14</xdr:col>
      <xdr:colOff>167847</xdr:colOff>
      <xdr:row>7</xdr:row>
      <xdr:rowOff>99200</xdr:rowOff>
    </xdr:to>
    <xdr:sp macro="" textlink="">
      <xdr:nvSpPr>
        <xdr:cNvPr id="13" name="Rectangle: Rounded Corners 12">
          <a:extLst>
            <a:ext uri="{FF2B5EF4-FFF2-40B4-BE49-F238E27FC236}">
              <a16:creationId xmlns:a16="http://schemas.microsoft.com/office/drawing/2014/main" id="{13C26EF3-D717-FE51-D7B9-29B9D01B8422}"/>
            </a:ext>
          </a:extLst>
        </xdr:cNvPr>
        <xdr:cNvSpPr/>
      </xdr:nvSpPr>
      <xdr:spPr>
        <a:xfrm>
          <a:off x="7736361" y="699875"/>
          <a:ext cx="1630405" cy="1038311"/>
        </a:xfrm>
        <a:prstGeom prst="roundRect">
          <a:avLst/>
        </a:prstGeom>
        <a:solidFill>
          <a:schemeClr val="bg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440380</xdr:colOff>
      <xdr:row>2</xdr:row>
      <xdr:rowOff>11330</xdr:rowOff>
    </xdr:from>
    <xdr:to>
      <xdr:col>14</xdr:col>
      <xdr:colOff>243015</xdr:colOff>
      <xdr:row>7</xdr:row>
      <xdr:rowOff>148628</xdr:rowOff>
    </xdr:to>
    <xdr:sp macro="" textlink="">
      <xdr:nvSpPr>
        <xdr:cNvPr id="14" name="Rectangle: Rounded Corners 13">
          <a:extLst>
            <a:ext uri="{FF2B5EF4-FFF2-40B4-BE49-F238E27FC236}">
              <a16:creationId xmlns:a16="http://schemas.microsoft.com/office/drawing/2014/main" id="{DC00EBCA-8ABF-17CB-0750-9268AC0170FA}"/>
            </a:ext>
          </a:extLst>
        </xdr:cNvPr>
        <xdr:cNvSpPr/>
      </xdr:nvSpPr>
      <xdr:spPr>
        <a:xfrm>
          <a:off x="7811529" y="749303"/>
          <a:ext cx="1630405" cy="1038311"/>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u="sng">
              <a:solidFill>
                <a:schemeClr val="tx1"/>
              </a:solidFill>
            </a:rPr>
            <a:t>BALANCE</a:t>
          </a:r>
        </a:p>
        <a:p>
          <a:pPr algn="l"/>
          <a:endParaRPr lang="en-US" sz="1100"/>
        </a:p>
      </xdr:txBody>
    </xdr:sp>
    <xdr:clientData/>
  </xdr:twoCellAnchor>
  <xdr:twoCellAnchor editAs="oneCell">
    <xdr:from>
      <xdr:col>4</xdr:col>
      <xdr:colOff>17163</xdr:colOff>
      <xdr:row>1</xdr:row>
      <xdr:rowOff>176426</xdr:rowOff>
    </xdr:from>
    <xdr:to>
      <xdr:col>5</xdr:col>
      <xdr:colOff>120135</xdr:colOff>
      <xdr:row>5</xdr:row>
      <xdr:rowOff>167844</xdr:rowOff>
    </xdr:to>
    <xdr:pic>
      <xdr:nvPicPr>
        <xdr:cNvPr id="16" name="Graphic 15" descr="Alarm clock with solid fill">
          <a:extLst>
            <a:ext uri="{FF2B5EF4-FFF2-40B4-BE49-F238E27FC236}">
              <a16:creationId xmlns:a16="http://schemas.microsoft.com/office/drawing/2014/main" id="{7BE74294-5E42-F6AC-F27D-940D4970A89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926149" y="734196"/>
          <a:ext cx="712229" cy="712229"/>
        </a:xfrm>
        <a:prstGeom prst="rect">
          <a:avLst/>
        </a:prstGeom>
      </xdr:spPr>
    </xdr:pic>
    <xdr:clientData/>
  </xdr:twoCellAnchor>
  <xdr:twoCellAnchor editAs="oneCell">
    <xdr:from>
      <xdr:col>7</xdr:col>
      <xdr:colOff>180204</xdr:colOff>
      <xdr:row>2</xdr:row>
      <xdr:rowOff>120135</xdr:rowOff>
    </xdr:from>
    <xdr:to>
      <xdr:col>8</xdr:col>
      <xdr:colOff>133521</xdr:colOff>
      <xdr:row>5</xdr:row>
      <xdr:rowOff>142101</xdr:rowOff>
    </xdr:to>
    <xdr:pic>
      <xdr:nvPicPr>
        <xdr:cNvPr id="18" name="Graphic 17" descr="Apple with solid fill">
          <a:extLst>
            <a:ext uri="{FF2B5EF4-FFF2-40B4-BE49-F238E27FC236}">
              <a16:creationId xmlns:a16="http://schemas.microsoft.com/office/drawing/2014/main" id="{52D19C08-3A37-214E-C4D6-ADB4E25431A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916961" y="858108"/>
          <a:ext cx="562574" cy="562574"/>
        </a:xfrm>
        <a:prstGeom prst="rect">
          <a:avLst/>
        </a:prstGeom>
      </xdr:spPr>
    </xdr:pic>
    <xdr:clientData/>
  </xdr:twoCellAnchor>
  <xdr:twoCellAnchor editAs="oneCell">
    <xdr:from>
      <xdr:col>10</xdr:col>
      <xdr:colOff>214528</xdr:colOff>
      <xdr:row>1</xdr:row>
      <xdr:rowOff>167845</xdr:rowOff>
    </xdr:from>
    <xdr:to>
      <xdr:col>10</xdr:col>
      <xdr:colOff>789460</xdr:colOff>
      <xdr:row>5</xdr:row>
      <xdr:rowOff>77229</xdr:rowOff>
    </xdr:to>
    <xdr:pic>
      <xdr:nvPicPr>
        <xdr:cNvPr id="20" name="Graphic 19" descr="Asian Temple with solid fill">
          <a:extLst>
            <a:ext uri="{FF2B5EF4-FFF2-40B4-BE49-F238E27FC236}">
              <a16:creationId xmlns:a16="http://schemas.microsoft.com/office/drawing/2014/main" id="{3021792E-E895-715F-B188-60F9F62B9D3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779055" y="725615"/>
          <a:ext cx="574932" cy="630195"/>
        </a:xfrm>
        <a:prstGeom prst="rect">
          <a:avLst/>
        </a:prstGeom>
      </xdr:spPr>
    </xdr:pic>
    <xdr:clientData/>
  </xdr:twoCellAnchor>
  <xdr:twoCellAnchor editAs="oneCell">
    <xdr:from>
      <xdr:col>13</xdr:col>
      <xdr:colOff>334663</xdr:colOff>
      <xdr:row>2</xdr:row>
      <xdr:rowOff>159265</xdr:rowOff>
    </xdr:from>
    <xdr:to>
      <xdr:col>14</xdr:col>
      <xdr:colOff>283176</xdr:colOff>
      <xdr:row>5</xdr:row>
      <xdr:rowOff>176427</xdr:rowOff>
    </xdr:to>
    <xdr:pic>
      <xdr:nvPicPr>
        <xdr:cNvPr id="22" name="Graphic 21" descr="Acorn with solid fill">
          <a:extLst>
            <a:ext uri="{FF2B5EF4-FFF2-40B4-BE49-F238E27FC236}">
              <a16:creationId xmlns:a16="http://schemas.microsoft.com/office/drawing/2014/main" id="{41442A55-D193-FBD4-2BEA-10619996A5F8}"/>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924325" y="897238"/>
          <a:ext cx="557770" cy="557770"/>
        </a:xfrm>
        <a:prstGeom prst="rect">
          <a:avLst/>
        </a:prstGeom>
      </xdr:spPr>
    </xdr:pic>
    <xdr:clientData/>
  </xdr:twoCellAnchor>
  <xdr:oneCellAnchor>
    <xdr:from>
      <xdr:col>2</xdr:col>
      <xdr:colOff>372882</xdr:colOff>
      <xdr:row>5</xdr:row>
      <xdr:rowOff>91721</xdr:rowOff>
    </xdr:from>
    <xdr:ext cx="654988" cy="291234"/>
    <xdr:sp macro="" textlink="Stock_details!F8">
      <xdr:nvSpPr>
        <xdr:cNvPr id="15" name="TextBox 14">
          <a:extLst>
            <a:ext uri="{FF2B5EF4-FFF2-40B4-BE49-F238E27FC236}">
              <a16:creationId xmlns:a16="http://schemas.microsoft.com/office/drawing/2014/main" id="{E3F6C14E-79BE-864B-9A07-24476AE11CA6}"/>
            </a:ext>
          </a:extLst>
        </xdr:cNvPr>
        <xdr:cNvSpPr txBox="1"/>
      </xdr:nvSpPr>
      <xdr:spPr>
        <a:xfrm>
          <a:off x="2066215" y="1372304"/>
          <a:ext cx="654988" cy="29123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fld id="{F80F5D78-CFAC-47B6-97B8-567D832D4BD6}" type="TxLink">
            <a:rPr lang="en-US" sz="1100" b="0" i="0" u="none" strike="noStrike">
              <a:solidFill>
                <a:srgbClr val="000000"/>
              </a:solidFill>
              <a:latin typeface="Arial Black"/>
            </a:rPr>
            <a:pPr algn="r"/>
            <a:t>14803</a:t>
          </a:fld>
          <a:endParaRPr lang="en-US" sz="1100"/>
        </a:p>
      </xdr:txBody>
    </xdr:sp>
    <xdr:clientData/>
  </xdr:oneCellAnchor>
  <xdr:oneCellAnchor>
    <xdr:from>
      <xdr:col>6</xdr:col>
      <xdr:colOff>49388</xdr:colOff>
      <xdr:row>5</xdr:row>
      <xdr:rowOff>134055</xdr:rowOff>
    </xdr:from>
    <xdr:ext cx="749051" cy="291234"/>
    <xdr:sp macro="" textlink="Stock_details!G8">
      <xdr:nvSpPr>
        <xdr:cNvPr id="19" name="TextBox 18">
          <a:extLst>
            <a:ext uri="{FF2B5EF4-FFF2-40B4-BE49-F238E27FC236}">
              <a16:creationId xmlns:a16="http://schemas.microsoft.com/office/drawing/2014/main" id="{AA23E2B2-FE44-7F19-9489-C0574F6B4164}"/>
            </a:ext>
          </a:extLst>
        </xdr:cNvPr>
        <xdr:cNvSpPr txBox="1"/>
      </xdr:nvSpPr>
      <xdr:spPr>
        <a:xfrm>
          <a:off x="4172416" y="1439830"/>
          <a:ext cx="749051" cy="29123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69924B2-3F6F-4A66-986E-960149D3ECE9}" type="TxLink">
            <a:rPr lang="en-US" sz="1100" b="0" i="0" u="none" strike="noStrike">
              <a:solidFill>
                <a:srgbClr val="000000"/>
              </a:solidFill>
              <a:latin typeface="Arial Black"/>
            </a:rPr>
            <a:pPr/>
            <a:t>307334</a:t>
          </a:fld>
          <a:endParaRPr lang="en-US" sz="1100"/>
        </a:p>
      </xdr:txBody>
    </xdr:sp>
    <xdr:clientData/>
  </xdr:oneCellAnchor>
  <xdr:oneCellAnchor>
    <xdr:from>
      <xdr:col>9</xdr:col>
      <xdr:colOff>148167</xdr:colOff>
      <xdr:row>6</xdr:row>
      <xdr:rowOff>21167</xdr:rowOff>
    </xdr:from>
    <xdr:ext cx="749051" cy="291234"/>
    <xdr:sp macro="" textlink="Stock_details!H8">
      <xdr:nvSpPr>
        <xdr:cNvPr id="21" name="TextBox 20">
          <a:extLst>
            <a:ext uri="{FF2B5EF4-FFF2-40B4-BE49-F238E27FC236}">
              <a16:creationId xmlns:a16="http://schemas.microsoft.com/office/drawing/2014/main" id="{AE01F26E-7361-500C-B7B5-80F24A78B5AC}"/>
            </a:ext>
          </a:extLst>
        </xdr:cNvPr>
        <xdr:cNvSpPr txBox="1"/>
      </xdr:nvSpPr>
      <xdr:spPr>
        <a:xfrm>
          <a:off x="6101292" y="1508125"/>
          <a:ext cx="749051" cy="29123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8DD2F3C-CA04-4E1D-8BDE-84B47B53C83F}" type="TxLink">
            <a:rPr lang="en-US" sz="1100" b="0" i="0" u="none" strike="noStrike">
              <a:solidFill>
                <a:srgbClr val="000000"/>
              </a:solidFill>
              <a:latin typeface="Arial Black"/>
            </a:rPr>
            <a:pPr/>
            <a:t>291333</a:t>
          </a:fld>
          <a:endParaRPr lang="en-US" sz="1100"/>
        </a:p>
      </xdr:txBody>
    </xdr:sp>
    <xdr:clientData/>
  </xdr:oneCellAnchor>
  <xdr:oneCellAnchor>
    <xdr:from>
      <xdr:col>12</xdr:col>
      <xdr:colOff>21167</xdr:colOff>
      <xdr:row>5</xdr:row>
      <xdr:rowOff>169333</xdr:rowOff>
    </xdr:from>
    <xdr:ext cx="654988" cy="291234"/>
    <xdr:sp macro="" textlink="Stock_details!I8">
      <xdr:nvSpPr>
        <xdr:cNvPr id="23" name="TextBox 22">
          <a:extLst>
            <a:ext uri="{FF2B5EF4-FFF2-40B4-BE49-F238E27FC236}">
              <a16:creationId xmlns:a16="http://schemas.microsoft.com/office/drawing/2014/main" id="{F9D6E819-7E24-6848-94A0-9BF60BDAF2A7}"/>
            </a:ext>
          </a:extLst>
        </xdr:cNvPr>
        <xdr:cNvSpPr txBox="1"/>
      </xdr:nvSpPr>
      <xdr:spPr>
        <a:xfrm>
          <a:off x="7995709" y="1471083"/>
          <a:ext cx="654988" cy="29123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BFDAA3E-6327-4F2F-A5A8-27762CE31E07}" type="TxLink">
            <a:rPr lang="en-US" sz="1100" b="0" i="0" u="none" strike="noStrike">
              <a:solidFill>
                <a:srgbClr val="000000"/>
              </a:solidFill>
              <a:latin typeface="Arial Black"/>
            </a:rPr>
            <a:pPr/>
            <a:t>30804</a:t>
          </a:fld>
          <a:endParaRPr lang="en-US" sz="1100"/>
        </a:p>
      </xdr:txBody>
    </xdr:sp>
    <xdr:clientData/>
  </xdr:oneCellAnchor>
  <xdr:twoCellAnchor editAs="absolute">
    <xdr:from>
      <xdr:col>13</xdr:col>
      <xdr:colOff>352658</xdr:colOff>
      <xdr:row>8</xdr:row>
      <xdr:rowOff>65857</xdr:rowOff>
    </xdr:from>
    <xdr:to>
      <xdr:col>16</xdr:col>
      <xdr:colOff>564445</xdr:colOff>
      <xdr:row>24</xdr:row>
      <xdr:rowOff>41060</xdr:rowOff>
    </xdr:to>
    <mc:AlternateContent xmlns:mc="http://schemas.openxmlformats.org/markup-compatibility/2006" xmlns:sle15="http://schemas.microsoft.com/office/drawing/2012/slicer">
      <mc:Choice Requires="sle15">
        <xdr:graphicFrame macro="">
          <xdr:nvGraphicFramePr>
            <xdr:cNvPr id="26" name="ITEMS 1">
              <a:extLst>
                <a:ext uri="{FF2B5EF4-FFF2-40B4-BE49-F238E27FC236}">
                  <a16:creationId xmlns:a16="http://schemas.microsoft.com/office/drawing/2014/main" id="{B56F0C22-CD7F-461B-8AA9-AAD248DC1706}"/>
                </a:ext>
              </a:extLst>
            </xdr:cNvPr>
            <xdr:cNvGraphicFramePr/>
          </xdr:nvGraphicFramePr>
          <xdr:xfrm>
            <a:off x="0" y="0"/>
            <a:ext cx="0" cy="0"/>
          </xdr:xfrm>
          <a:graphic>
            <a:graphicData uri="http://schemas.microsoft.com/office/drawing/2010/slicer">
              <sle:slicer xmlns:sle="http://schemas.microsoft.com/office/drawing/2010/slicer" name="ITEMS 1"/>
            </a:graphicData>
          </a:graphic>
        </xdr:graphicFrame>
      </mc:Choice>
      <mc:Fallback xmlns="">
        <xdr:sp macro="" textlink="">
          <xdr:nvSpPr>
            <xdr:cNvPr id="0" name=""/>
            <xdr:cNvSpPr>
              <a:spLocks noTextEdit="1"/>
            </xdr:cNvSpPr>
          </xdr:nvSpPr>
          <xdr:spPr>
            <a:xfrm>
              <a:off x="8931638" y="1893102"/>
              <a:ext cx="2039031" cy="28780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xdr:col>
      <xdr:colOff>35278</xdr:colOff>
      <xdr:row>8</xdr:row>
      <xdr:rowOff>11760</xdr:rowOff>
    </xdr:from>
    <xdr:to>
      <xdr:col>13</xdr:col>
      <xdr:colOff>188148</xdr:colOff>
      <xdr:row>30</xdr:row>
      <xdr:rowOff>141111</xdr:rowOff>
    </xdr:to>
    <xdr:graphicFrame macro="">
      <xdr:nvGraphicFramePr>
        <xdr:cNvPr id="27" name="Chart 26">
          <a:extLst>
            <a:ext uri="{FF2B5EF4-FFF2-40B4-BE49-F238E27FC236}">
              <a16:creationId xmlns:a16="http://schemas.microsoft.com/office/drawing/2014/main" id="{1B8107F4-60B6-45BF-971C-9C0032EA30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237490</xdr:colOff>
      <xdr:row>8</xdr:row>
      <xdr:rowOff>161720</xdr:rowOff>
    </xdr:from>
    <xdr:to>
      <xdr:col>4</xdr:col>
      <xdr:colOff>209550</xdr:colOff>
      <xdr:row>9</xdr:row>
      <xdr:rowOff>447039</xdr:rowOff>
    </xdr:to>
    <xdr:pic>
      <xdr:nvPicPr>
        <xdr:cNvPr id="2" name="Graphic 1" descr="House with solid fill">
          <a:hlinkClick xmlns:r="http://schemas.openxmlformats.org/officeDocument/2006/relationships" r:id="rId1"/>
          <a:extLst>
            <a:ext uri="{FF2B5EF4-FFF2-40B4-BE49-F238E27FC236}">
              <a16:creationId xmlns:a16="http://schemas.microsoft.com/office/drawing/2014/main" id="{B949933D-5109-4AF3-8A84-E437433FA8B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066290" y="1666670"/>
          <a:ext cx="543560" cy="46946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129540</xdr:colOff>
      <xdr:row>4</xdr:row>
      <xdr:rowOff>167640</xdr:rowOff>
    </xdr:from>
    <xdr:to>
      <xdr:col>4</xdr:col>
      <xdr:colOff>622300</xdr:colOff>
      <xdr:row>5</xdr:row>
      <xdr:rowOff>429883</xdr:rowOff>
    </xdr:to>
    <xdr:pic>
      <xdr:nvPicPr>
        <xdr:cNvPr id="2" name="Graphic 1" descr="House with solid fill">
          <a:hlinkClick xmlns:r="http://schemas.openxmlformats.org/officeDocument/2006/relationships" r:id="rId1"/>
          <a:extLst>
            <a:ext uri="{FF2B5EF4-FFF2-40B4-BE49-F238E27FC236}">
              <a16:creationId xmlns:a16="http://schemas.microsoft.com/office/drawing/2014/main" id="{E350CB8F-DA8D-4582-9160-8720B85D70A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567940" y="904240"/>
          <a:ext cx="492760" cy="4463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88900</xdr:colOff>
      <xdr:row>4</xdr:row>
      <xdr:rowOff>120226</xdr:rowOff>
    </xdr:from>
    <xdr:to>
      <xdr:col>5</xdr:col>
      <xdr:colOff>497860</xdr:colOff>
      <xdr:row>6</xdr:row>
      <xdr:rowOff>6350</xdr:rowOff>
    </xdr:to>
    <xdr:pic>
      <xdr:nvPicPr>
        <xdr:cNvPr id="2" name="Graphic 1" descr="House with solid fill">
          <a:hlinkClick xmlns:r="http://schemas.openxmlformats.org/officeDocument/2006/relationships" r:id="rId1"/>
          <a:extLst>
            <a:ext uri="{FF2B5EF4-FFF2-40B4-BE49-F238E27FC236}">
              <a16:creationId xmlns:a16="http://schemas.microsoft.com/office/drawing/2014/main" id="{F648E2E1-840A-4922-B824-E55588A6856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136900" y="856826"/>
          <a:ext cx="411480" cy="55287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171450</xdr:colOff>
      <xdr:row>5</xdr:row>
      <xdr:rowOff>20744</xdr:rowOff>
    </xdr:from>
    <xdr:to>
      <xdr:col>3</xdr:col>
      <xdr:colOff>537210</xdr:colOff>
      <xdr:row>7</xdr:row>
      <xdr:rowOff>54610</xdr:rowOff>
    </xdr:to>
    <xdr:pic>
      <xdr:nvPicPr>
        <xdr:cNvPr id="16" name="Graphic 15" descr="House with solid fill">
          <a:hlinkClick xmlns:r="http://schemas.openxmlformats.org/officeDocument/2006/relationships" r:id="rId1"/>
          <a:extLst>
            <a:ext uri="{FF2B5EF4-FFF2-40B4-BE49-F238E27FC236}">
              <a16:creationId xmlns:a16="http://schemas.microsoft.com/office/drawing/2014/main" id="{FD43B013-7198-40B5-9A31-318FCAFCCD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000250" y="941494"/>
          <a:ext cx="365760" cy="605366"/>
        </a:xfrm>
        <a:prstGeom prst="rect">
          <a:avLst/>
        </a:prstGeom>
      </xdr:spPr>
    </xdr:pic>
    <xdr:clientData/>
  </xdr:twoCellAnchor>
  <xdr:twoCellAnchor>
    <xdr:from>
      <xdr:col>8</xdr:col>
      <xdr:colOff>63500</xdr:colOff>
      <xdr:row>9</xdr:row>
      <xdr:rowOff>203200</xdr:rowOff>
    </xdr:from>
    <xdr:to>
      <xdr:col>9</xdr:col>
      <xdr:colOff>368300</xdr:colOff>
      <xdr:row>11</xdr:row>
      <xdr:rowOff>12700</xdr:rowOff>
    </xdr:to>
    <xdr:sp macro="[0]!darte" textlink="">
      <xdr:nvSpPr>
        <xdr:cNvPr id="17" name="Rectangle: Rounded Corners 16">
          <a:extLst>
            <a:ext uri="{FF2B5EF4-FFF2-40B4-BE49-F238E27FC236}">
              <a16:creationId xmlns:a16="http://schemas.microsoft.com/office/drawing/2014/main" id="{BE12B1C1-B092-D26D-FFEA-7A5F9037CF39}"/>
            </a:ext>
          </a:extLst>
        </xdr:cNvPr>
        <xdr:cNvSpPr/>
      </xdr:nvSpPr>
      <xdr:spPr>
        <a:xfrm>
          <a:off x="4940300" y="2095500"/>
          <a:ext cx="914400" cy="241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DATE</a:t>
          </a:r>
        </a:p>
      </xdr:txBody>
    </xdr:sp>
    <xdr:clientData/>
  </xdr:twoCellAnchor>
  <xdr:twoCellAnchor>
    <xdr:from>
      <xdr:col>6</xdr:col>
      <xdr:colOff>419100</xdr:colOff>
      <xdr:row>19</xdr:row>
      <xdr:rowOff>95250</xdr:rowOff>
    </xdr:from>
    <xdr:to>
      <xdr:col>8</xdr:col>
      <xdr:colOff>165100</xdr:colOff>
      <xdr:row>22</xdr:row>
      <xdr:rowOff>146050</xdr:rowOff>
    </xdr:to>
    <xdr:sp macro="[0]!savesales" textlink="">
      <xdr:nvSpPr>
        <xdr:cNvPr id="2" name="Oval 1">
          <a:extLst>
            <a:ext uri="{FF2B5EF4-FFF2-40B4-BE49-F238E27FC236}">
              <a16:creationId xmlns:a16="http://schemas.microsoft.com/office/drawing/2014/main" id="{91E49B1B-AE32-017F-56B2-33F21E43606B}"/>
            </a:ext>
          </a:extLst>
        </xdr:cNvPr>
        <xdr:cNvSpPr/>
      </xdr:nvSpPr>
      <xdr:spPr>
        <a:xfrm>
          <a:off x="4076700" y="4146550"/>
          <a:ext cx="965200" cy="60325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t>SAVE</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181610</xdr:colOff>
      <xdr:row>6</xdr:row>
      <xdr:rowOff>27940</xdr:rowOff>
    </xdr:from>
    <xdr:to>
      <xdr:col>5</xdr:col>
      <xdr:colOff>547370</xdr:colOff>
      <xdr:row>8</xdr:row>
      <xdr:rowOff>61806</xdr:rowOff>
    </xdr:to>
    <xdr:pic>
      <xdr:nvPicPr>
        <xdr:cNvPr id="4" name="Graphic 3" descr="House with solid fill">
          <a:hlinkClick xmlns:r="http://schemas.openxmlformats.org/officeDocument/2006/relationships" r:id="rId1"/>
          <a:extLst>
            <a:ext uri="{FF2B5EF4-FFF2-40B4-BE49-F238E27FC236}">
              <a16:creationId xmlns:a16="http://schemas.microsoft.com/office/drawing/2014/main" id="{CFF0EA4C-A62B-4E39-ABD9-C1214A6CA14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229610" y="1132840"/>
          <a:ext cx="365760" cy="548216"/>
        </a:xfrm>
        <a:prstGeom prst="rect">
          <a:avLst/>
        </a:prstGeom>
      </xdr:spPr>
    </xdr:pic>
    <xdr:clientData/>
  </xdr:twoCellAnchor>
  <xdr:twoCellAnchor>
    <xdr:from>
      <xdr:col>10</xdr:col>
      <xdr:colOff>95250</xdr:colOff>
      <xdr:row>11</xdr:row>
      <xdr:rowOff>6350</xdr:rowOff>
    </xdr:from>
    <xdr:to>
      <xdr:col>11</xdr:col>
      <xdr:colOff>228600</xdr:colOff>
      <xdr:row>12</xdr:row>
      <xdr:rowOff>146050</xdr:rowOff>
    </xdr:to>
    <xdr:sp macro="[0]!darte" textlink="">
      <xdr:nvSpPr>
        <xdr:cNvPr id="5" name="Rectangle: Rounded Corners 4">
          <a:extLst>
            <a:ext uri="{FF2B5EF4-FFF2-40B4-BE49-F238E27FC236}">
              <a16:creationId xmlns:a16="http://schemas.microsoft.com/office/drawing/2014/main" id="{4DFF7237-938F-7A47-C25C-ED2B5164DCAA}"/>
            </a:ext>
          </a:extLst>
        </xdr:cNvPr>
        <xdr:cNvSpPr/>
      </xdr:nvSpPr>
      <xdr:spPr>
        <a:xfrm>
          <a:off x="6191250" y="2241550"/>
          <a:ext cx="742950" cy="355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DATE</a:t>
          </a:r>
        </a:p>
      </xdr:txBody>
    </xdr:sp>
    <xdr:clientData/>
  </xdr:twoCellAnchor>
  <xdr:twoCellAnchor>
    <xdr:from>
      <xdr:col>8</xdr:col>
      <xdr:colOff>165100</xdr:colOff>
      <xdr:row>20</xdr:row>
      <xdr:rowOff>127000</xdr:rowOff>
    </xdr:from>
    <xdr:to>
      <xdr:col>10</xdr:col>
      <xdr:colOff>330200</xdr:colOff>
      <xdr:row>23</xdr:row>
      <xdr:rowOff>152400</xdr:rowOff>
    </xdr:to>
    <xdr:sp macro="[0]!purchentrylatest" textlink="">
      <xdr:nvSpPr>
        <xdr:cNvPr id="3" name="Oval 2">
          <a:extLst>
            <a:ext uri="{FF2B5EF4-FFF2-40B4-BE49-F238E27FC236}">
              <a16:creationId xmlns:a16="http://schemas.microsoft.com/office/drawing/2014/main" id="{B7A9DB32-B561-A665-3D8A-AA511FD55CFA}"/>
            </a:ext>
          </a:extLst>
        </xdr:cNvPr>
        <xdr:cNvSpPr/>
      </xdr:nvSpPr>
      <xdr:spPr>
        <a:xfrm>
          <a:off x="5041900" y="4305300"/>
          <a:ext cx="1384300" cy="57785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SAVE</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S" xr10:uid="{B1C0DB4D-B95E-4A23-A81B-A2A1876B8281}" sourceName="ITEMS">
  <extLst>
    <x:ext xmlns:x15="http://schemas.microsoft.com/office/spreadsheetml/2010/11/main" uri="{2F2917AC-EB37-4324-AD4E-5DD8C200BD13}">
      <x15:tableSlicerCache tableId="1"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S 1" xr10:uid="{57A4FC16-3EE9-4B39-81D0-275B17286DED}" cache="Slicer_ITEMS" caption="ITEMS" style="SlicerStyleLight2"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A7472B-2D28-4B4E-AB00-5E1DF373D87F}" name="Table1" displayName="Table1" ref="D11:I19" totalsRowShown="0" headerRowDxfId="21" dataDxfId="19" headerRowBorderDxfId="20" tableBorderDxfId="18" totalsRowBorderDxfId="17">
  <autoFilter ref="D11:I19" xr:uid="{F5A7472B-2D28-4B4E-AB00-5E1DF373D87F}">
    <filterColumn colId="0" hiddenButton="1"/>
    <filterColumn colId="1" hiddenButton="1"/>
    <filterColumn colId="2" hiddenButton="1"/>
    <filterColumn colId="3" hiddenButton="1"/>
    <filterColumn colId="4" hiddenButton="1"/>
    <filterColumn colId="5" hiddenButton="1"/>
  </autoFilter>
  <tableColumns count="6">
    <tableColumn id="1" xr3:uid="{B76F27C9-0F5C-4888-87C5-13C9ED0743DD}" name="SN" dataDxfId="16"/>
    <tableColumn id="2" xr3:uid="{38AD6391-63B8-422E-A909-54F2704729F2}" name="ITEMS" dataDxfId="15"/>
    <tableColumn id="3" xr3:uid="{EEC641E0-9B49-490B-B736-B52D7D15CD22}" name="OPENING BAL" dataDxfId="14"/>
    <tableColumn id="4" xr3:uid="{1589B0D2-7B8A-4558-AE82-8C6ED48120B9}" name="PURCHASE BAL" dataDxfId="13">
      <calculatedColumnFormula>purchdetail!B16</calculatedColumnFormula>
    </tableColumn>
    <tableColumn id="5" xr3:uid="{D578BBE1-41A2-48D4-B451-1E87F22915FC}" name="SALES BALANCE" dataDxfId="12">
      <calculatedColumnFormula>sales_detail!B15</calculatedColumnFormula>
    </tableColumn>
    <tableColumn id="6" xr3:uid="{C498A80B-9029-44AC-815E-128D6CA56AD1}" name="BALANCE" dataDxfId="11">
      <calculatedColumnFormula>Table1[[#This Row],[OPENING BAL]]+Table1[[#This Row],[PURCHASE BAL]]-Table1[[#This Row],[SALES BALANCE]]</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A4E2B2B-4F9B-4990-8B0C-0D5E6AF9E549}" name="Table2" displayName="Table2" ref="E7:J25" totalsRowShown="0" headerRowDxfId="10" headerRowBorderDxfId="9" tableBorderDxfId="8">
  <autoFilter ref="E7:J25" xr:uid="{FA4E2B2B-4F9B-4990-8B0C-0D5E6AF9E549}">
    <filterColumn colId="0" hiddenButton="1"/>
    <filterColumn colId="1" hiddenButton="1"/>
    <filterColumn colId="2" hiddenButton="1"/>
    <filterColumn colId="3" hiddenButton="1"/>
    <filterColumn colId="4" hiddenButton="1"/>
    <filterColumn colId="5" hiddenButton="1"/>
  </autoFilter>
  <tableColumns count="6">
    <tableColumn id="1" xr3:uid="{17D3C6BF-CAEE-4503-A742-7B7261FC8AE8}" name="Bill No" dataDxfId="7"/>
    <tableColumn id="2" xr3:uid="{D3C4D392-0DFF-47A3-8F9C-14DC6B26F451}" name="Date" dataDxfId="6"/>
    <tableColumn id="3" xr3:uid="{5BB22C53-DEEC-42C6-BDC9-FB3FBCFE45F9}" name="Items" dataDxfId="5"/>
    <tableColumn id="4" xr3:uid="{4ABE1BFD-C421-4AB2-9C56-A08F9259F15E}" name="Qty" dataDxfId="4"/>
    <tableColumn id="5" xr3:uid="{EEBA6803-FD42-4A63-845A-0C23BE6DCF25}" name="Rate" dataDxfId="3"/>
    <tableColumn id="6" xr3:uid="{CCD1504F-A80D-490E-8A5B-096299C2040A}" name="Amount" dataDxfId="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EDCD98-0011-487C-8B69-5D2DFF0C84EB}" name="Table4" displayName="Table4" ref="F7:K29" totalsRowShown="0" headerRowDxfId="1" tableBorderDxfId="0">
  <autoFilter ref="F7:K29" xr:uid="{11EDCD98-0011-487C-8B69-5D2DFF0C84EB}">
    <filterColumn colId="0" hiddenButton="1"/>
    <filterColumn colId="1" hiddenButton="1"/>
    <filterColumn colId="2" hiddenButton="1"/>
    <filterColumn colId="3" hiddenButton="1"/>
    <filterColumn colId="4" hiddenButton="1"/>
    <filterColumn colId="5" hiddenButton="1"/>
  </autoFilter>
  <tableColumns count="6">
    <tableColumn id="1" xr3:uid="{D1E6C4FC-DC17-424F-8B2A-9E3FF5CDEFC4}" name="Bill No"/>
    <tableColumn id="2" xr3:uid="{4628F609-5E9D-4A60-9623-4C0BD38EFE74}" name="Date"/>
    <tableColumn id="3" xr3:uid="{5D152558-553A-41C3-9756-CD62F6E16C47}" name="Items"/>
    <tableColumn id="4" xr3:uid="{C4D3F45F-56E9-4A5D-8C8D-44146E3A9A46}" name="Qty"/>
    <tableColumn id="5" xr3:uid="{C65B281E-4729-4B15-8EE8-43527042A85F}" name="Rate"/>
    <tableColumn id="6" xr3:uid="{20E97231-C34C-4884-8B40-367DBE44DF82}" name="Amou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0AC51-0FD7-43A3-9020-B8037D05E7DF}">
  <sheetPr codeName="Sheet1"/>
  <dimension ref="A1:R31"/>
  <sheetViews>
    <sheetView tabSelected="1" zoomScale="49" zoomScaleNormal="74" workbookViewId="0">
      <selection activeCell="V17" sqref="V17"/>
    </sheetView>
  </sheetViews>
  <sheetFormatPr defaultRowHeight="14.5"/>
  <cols>
    <col min="1" max="1" width="6.1796875" customWidth="1"/>
    <col min="2" max="2" width="18" customWidth="1"/>
    <col min="11" max="11" width="11.54296875" customWidth="1"/>
  </cols>
  <sheetData>
    <row r="1" spans="1:18" ht="44" customHeight="1">
      <c r="A1" s="1"/>
      <c r="B1" s="3" t="s">
        <v>0</v>
      </c>
      <c r="C1" s="2"/>
      <c r="D1" s="2"/>
      <c r="E1" s="2"/>
      <c r="F1" s="49" t="s">
        <v>1</v>
      </c>
      <c r="G1" s="49"/>
      <c r="H1" s="49"/>
      <c r="I1" s="49"/>
      <c r="J1" s="49"/>
      <c r="K1" s="49"/>
      <c r="L1" s="2"/>
      <c r="M1" s="2"/>
      <c r="N1" s="2"/>
      <c r="O1" s="2"/>
      <c r="P1" s="2"/>
      <c r="Q1" s="1"/>
      <c r="R1" s="1"/>
    </row>
    <row r="2" spans="1:18">
      <c r="A2" s="1"/>
      <c r="B2" s="2"/>
      <c r="C2" s="1"/>
      <c r="D2" s="1"/>
      <c r="E2" s="1"/>
      <c r="F2" s="1"/>
      <c r="G2" s="1"/>
      <c r="H2" s="1"/>
      <c r="I2" s="1"/>
      <c r="J2" s="1"/>
      <c r="K2" s="1"/>
      <c r="L2" s="1"/>
      <c r="M2" s="1"/>
      <c r="N2" s="1"/>
      <c r="O2" s="1"/>
      <c r="P2" s="1"/>
      <c r="Q2" s="1"/>
      <c r="R2" s="1"/>
    </row>
    <row r="3" spans="1:18">
      <c r="A3" s="1"/>
      <c r="B3" s="2"/>
      <c r="C3" s="1"/>
      <c r="D3" s="1"/>
      <c r="E3" s="1"/>
      <c r="F3" s="1"/>
      <c r="G3" s="1"/>
      <c r="H3" s="1"/>
      <c r="I3" s="1"/>
      <c r="J3" s="1"/>
      <c r="K3" s="1"/>
      <c r="L3" s="1"/>
      <c r="M3" s="1"/>
      <c r="N3" s="1"/>
      <c r="O3" s="1"/>
      <c r="P3" s="1"/>
      <c r="Q3" s="1"/>
      <c r="R3" s="1"/>
    </row>
    <row r="4" spans="1:18">
      <c r="A4" s="1"/>
      <c r="B4" s="2"/>
      <c r="C4" s="1"/>
      <c r="D4" s="1"/>
      <c r="E4" s="1"/>
      <c r="F4" s="1"/>
      <c r="G4" s="1"/>
      <c r="H4" s="1"/>
      <c r="I4" s="1"/>
      <c r="J4" s="1"/>
      <c r="K4" s="1"/>
      <c r="L4" s="1"/>
      <c r="M4" s="1"/>
      <c r="N4" s="1"/>
      <c r="O4" s="1"/>
      <c r="P4" s="1"/>
      <c r="Q4" s="1"/>
      <c r="R4" s="1"/>
    </row>
    <row r="5" spans="1:18">
      <c r="A5" s="1"/>
      <c r="B5" s="2"/>
      <c r="C5" s="1"/>
      <c r="D5" s="1"/>
      <c r="E5" s="1"/>
      <c r="F5" s="1"/>
      <c r="G5" s="1"/>
      <c r="H5" s="1"/>
      <c r="I5" s="1"/>
      <c r="J5" s="1"/>
      <c r="K5" s="1"/>
      <c r="L5" s="1"/>
      <c r="M5" s="1"/>
      <c r="N5" s="1"/>
      <c r="O5" s="1"/>
      <c r="P5" s="1"/>
      <c r="Q5" s="1"/>
      <c r="R5" s="1"/>
    </row>
    <row r="6" spans="1:18">
      <c r="A6" s="1"/>
      <c r="B6" s="2"/>
      <c r="C6" s="1"/>
      <c r="D6" s="1"/>
      <c r="E6" s="1"/>
      <c r="F6" s="1"/>
      <c r="G6" s="1"/>
      <c r="H6" s="1"/>
      <c r="I6" s="1"/>
      <c r="J6" s="1"/>
      <c r="K6" s="1"/>
      <c r="L6" s="1"/>
      <c r="M6" s="1"/>
      <c r="N6" s="1"/>
      <c r="O6" s="1"/>
      <c r="P6" s="1"/>
      <c r="Q6" s="1"/>
      <c r="R6" s="1"/>
    </row>
    <row r="7" spans="1:18">
      <c r="A7" s="1"/>
      <c r="B7" s="2"/>
      <c r="C7" s="1"/>
      <c r="D7" s="1"/>
      <c r="E7" s="1"/>
      <c r="F7" s="1"/>
      <c r="G7" s="1"/>
      <c r="H7" s="1"/>
      <c r="I7" s="1"/>
      <c r="J7" s="1"/>
      <c r="K7" s="1"/>
      <c r="L7" s="1"/>
      <c r="M7" s="1"/>
      <c r="N7" s="1"/>
      <c r="O7" s="1"/>
      <c r="P7" s="1"/>
      <c r="Q7" s="1"/>
      <c r="R7" s="1"/>
    </row>
    <row r="8" spans="1:18">
      <c r="A8" s="1"/>
      <c r="B8" s="2"/>
      <c r="C8" s="1"/>
      <c r="D8" s="1"/>
      <c r="E8" s="1"/>
      <c r="F8" s="1"/>
      <c r="G8" s="1"/>
      <c r="H8" s="1"/>
      <c r="I8" s="1"/>
      <c r="J8" s="1"/>
      <c r="K8" s="1"/>
      <c r="L8" s="1"/>
      <c r="M8" s="1"/>
      <c r="N8" s="1"/>
      <c r="O8" s="1"/>
      <c r="P8" s="1"/>
      <c r="Q8" s="1"/>
      <c r="R8" s="1"/>
    </row>
    <row r="9" spans="1:18">
      <c r="A9" s="1"/>
      <c r="B9" s="2"/>
      <c r="C9" s="1"/>
      <c r="D9" s="1"/>
      <c r="E9" s="1"/>
      <c r="F9" s="1"/>
      <c r="G9" s="1"/>
      <c r="H9" s="1"/>
      <c r="I9" s="1"/>
      <c r="J9" s="1"/>
      <c r="K9" s="1"/>
      <c r="L9" s="1"/>
      <c r="M9" s="1"/>
      <c r="N9" s="1"/>
      <c r="O9" s="1"/>
      <c r="P9" s="1"/>
      <c r="Q9" s="1"/>
      <c r="R9" s="1"/>
    </row>
    <row r="10" spans="1:18">
      <c r="A10" s="1"/>
      <c r="B10" s="2"/>
      <c r="C10" s="1"/>
      <c r="D10" s="1"/>
      <c r="E10" s="1"/>
      <c r="F10" s="1"/>
      <c r="G10" s="1"/>
      <c r="H10" s="1"/>
      <c r="I10" s="1"/>
      <c r="J10" s="1"/>
      <c r="K10" s="1"/>
      <c r="L10" s="1"/>
      <c r="M10" s="1"/>
      <c r="N10" s="1"/>
      <c r="O10" s="1"/>
      <c r="P10" s="1"/>
      <c r="Q10" s="1"/>
      <c r="R10" s="1"/>
    </row>
    <row r="11" spans="1:18">
      <c r="A11" s="1"/>
      <c r="B11" s="2"/>
      <c r="C11" s="1"/>
      <c r="D11" s="1"/>
      <c r="E11" s="1"/>
      <c r="F11" s="1"/>
      <c r="G11" s="1"/>
      <c r="H11" s="1"/>
      <c r="I11" s="1"/>
      <c r="J11" s="1"/>
      <c r="K11" s="1"/>
      <c r="L11" s="1"/>
      <c r="M11" s="1"/>
      <c r="N11" s="1"/>
      <c r="O11" s="1"/>
      <c r="P11" s="1"/>
      <c r="Q11" s="1"/>
      <c r="R11" s="1"/>
    </row>
    <row r="12" spans="1:18">
      <c r="A12" s="1"/>
      <c r="B12" s="2"/>
      <c r="C12" s="1"/>
      <c r="D12" s="1"/>
      <c r="E12" s="1"/>
      <c r="F12" s="1"/>
      <c r="G12" s="1"/>
      <c r="H12" s="1"/>
      <c r="I12" s="1"/>
      <c r="J12" s="1"/>
      <c r="K12" s="1"/>
      <c r="L12" s="1"/>
      <c r="M12" s="1"/>
      <c r="N12" s="1"/>
      <c r="O12" s="1"/>
      <c r="P12" s="1"/>
      <c r="Q12" s="1"/>
      <c r="R12" s="1"/>
    </row>
    <row r="13" spans="1:18">
      <c r="A13" s="1"/>
      <c r="B13" s="2"/>
      <c r="C13" s="1"/>
      <c r="D13" s="1"/>
      <c r="E13" s="1"/>
      <c r="F13" s="1"/>
      <c r="G13" s="1"/>
      <c r="H13" s="1"/>
      <c r="I13" s="1"/>
      <c r="J13" s="1"/>
      <c r="K13" s="1"/>
      <c r="L13" s="1"/>
      <c r="M13" s="1"/>
      <c r="N13" s="1"/>
      <c r="O13" s="1"/>
      <c r="P13" s="1"/>
      <c r="Q13" s="1"/>
      <c r="R13" s="1"/>
    </row>
    <row r="14" spans="1:18">
      <c r="A14" s="1"/>
      <c r="B14" s="2"/>
      <c r="C14" s="1"/>
      <c r="D14" s="1"/>
      <c r="E14" s="1"/>
      <c r="F14" s="1"/>
      <c r="G14" s="1"/>
      <c r="H14" s="1"/>
      <c r="I14" s="1"/>
      <c r="J14" s="1"/>
      <c r="K14" s="1"/>
      <c r="L14" s="1"/>
      <c r="M14" s="1"/>
      <c r="N14" s="1"/>
      <c r="O14" s="1"/>
      <c r="P14" s="1"/>
      <c r="Q14" s="1"/>
      <c r="R14" s="1"/>
    </row>
    <row r="15" spans="1:18">
      <c r="A15" s="1"/>
      <c r="B15" s="2"/>
      <c r="C15" s="1"/>
      <c r="D15" s="1"/>
      <c r="E15" s="1"/>
      <c r="F15" s="1"/>
      <c r="G15" s="1"/>
      <c r="H15" s="1"/>
      <c r="I15" s="1"/>
      <c r="J15" s="1"/>
      <c r="K15" s="1"/>
      <c r="L15" s="1"/>
      <c r="M15" s="1"/>
      <c r="N15" s="1"/>
      <c r="O15" s="1"/>
      <c r="P15" s="1"/>
      <c r="Q15" s="1"/>
      <c r="R15" s="1"/>
    </row>
    <row r="16" spans="1:18">
      <c r="A16" s="1"/>
      <c r="B16" s="2"/>
      <c r="C16" s="1"/>
      <c r="D16" s="1"/>
      <c r="E16" s="1"/>
      <c r="F16" s="1"/>
      <c r="G16" s="1"/>
      <c r="H16" s="1"/>
      <c r="I16" s="1"/>
      <c r="J16" s="1"/>
      <c r="K16" s="1"/>
      <c r="L16" s="1"/>
      <c r="M16" s="1"/>
      <c r="N16" s="1"/>
      <c r="O16" s="1"/>
      <c r="P16" s="1"/>
      <c r="Q16" s="1"/>
      <c r="R16" s="1"/>
    </row>
    <row r="17" spans="1:18">
      <c r="A17" s="1"/>
      <c r="B17" s="2"/>
      <c r="C17" s="1"/>
      <c r="D17" s="1"/>
      <c r="E17" s="1"/>
      <c r="F17" s="1"/>
      <c r="G17" s="1"/>
      <c r="H17" s="1"/>
      <c r="I17" s="1"/>
      <c r="J17" s="1"/>
      <c r="K17" s="1"/>
      <c r="L17" s="1"/>
      <c r="M17" s="1"/>
      <c r="N17" s="1"/>
      <c r="O17" s="1"/>
      <c r="P17" s="1"/>
      <c r="Q17" s="1"/>
      <c r="R17" s="1"/>
    </row>
    <row r="18" spans="1:18">
      <c r="A18" s="1"/>
      <c r="B18" s="2"/>
      <c r="C18" s="1"/>
      <c r="D18" s="1"/>
      <c r="E18" s="1"/>
      <c r="F18" s="1"/>
      <c r="G18" s="1"/>
      <c r="H18" s="1"/>
      <c r="I18" s="1"/>
      <c r="J18" s="1"/>
      <c r="K18" s="1"/>
      <c r="L18" s="1"/>
      <c r="M18" s="1"/>
      <c r="N18" s="1"/>
      <c r="O18" s="1"/>
      <c r="P18" s="1"/>
      <c r="Q18" s="1"/>
      <c r="R18" s="1"/>
    </row>
    <row r="19" spans="1:18">
      <c r="A19" s="1"/>
      <c r="B19" s="2"/>
      <c r="C19" s="1"/>
      <c r="D19" s="1"/>
      <c r="E19" s="1"/>
      <c r="F19" s="1"/>
      <c r="G19" s="1"/>
      <c r="H19" s="1"/>
      <c r="I19" s="1"/>
      <c r="J19" s="1"/>
      <c r="K19" s="1"/>
      <c r="L19" s="1"/>
      <c r="M19" s="1"/>
      <c r="N19" s="1"/>
      <c r="O19" s="1"/>
      <c r="P19" s="1"/>
      <c r="Q19" s="1"/>
      <c r="R19" s="1"/>
    </row>
    <row r="20" spans="1:18">
      <c r="A20" s="1"/>
      <c r="B20" s="2"/>
      <c r="C20" s="1"/>
      <c r="D20" s="1"/>
      <c r="E20" s="1"/>
      <c r="F20" s="1"/>
      <c r="G20" s="1"/>
      <c r="H20" s="1"/>
      <c r="I20" s="1"/>
      <c r="J20" s="1"/>
      <c r="K20" s="1"/>
      <c r="L20" s="1"/>
      <c r="M20" s="1"/>
      <c r="N20" s="1"/>
      <c r="O20" s="1"/>
      <c r="P20" s="1"/>
      <c r="Q20" s="1"/>
      <c r="R20" s="1"/>
    </row>
    <row r="21" spans="1:18">
      <c r="A21" s="1"/>
      <c r="B21" s="2"/>
      <c r="C21" s="1"/>
      <c r="D21" s="1"/>
      <c r="E21" s="1"/>
      <c r="F21" s="1"/>
      <c r="G21" s="1"/>
      <c r="H21" s="1"/>
      <c r="I21" s="1"/>
      <c r="J21" s="1"/>
      <c r="K21" s="1"/>
      <c r="L21" s="1"/>
      <c r="M21" s="1"/>
      <c r="N21" s="1"/>
      <c r="O21" s="1"/>
      <c r="P21" s="1"/>
      <c r="Q21" s="1"/>
      <c r="R21" s="1"/>
    </row>
    <row r="22" spans="1:18">
      <c r="A22" s="1"/>
      <c r="B22" s="2"/>
      <c r="C22" s="1"/>
      <c r="D22" s="1"/>
      <c r="E22" s="1"/>
      <c r="F22" s="1"/>
      <c r="G22" s="1"/>
      <c r="H22" s="1"/>
      <c r="I22" s="1"/>
      <c r="J22" s="1"/>
      <c r="K22" s="1"/>
      <c r="L22" s="1"/>
      <c r="M22" s="1"/>
      <c r="N22" s="1"/>
      <c r="O22" s="1"/>
      <c r="P22" s="1"/>
      <c r="Q22" s="1"/>
      <c r="R22" s="1"/>
    </row>
    <row r="23" spans="1:18">
      <c r="A23" s="1"/>
      <c r="B23" s="2"/>
      <c r="C23" s="1"/>
      <c r="D23" s="1"/>
      <c r="E23" s="1"/>
      <c r="F23" s="1"/>
      <c r="G23" s="1"/>
      <c r="H23" s="1"/>
      <c r="I23" s="1"/>
      <c r="J23" s="1"/>
      <c r="K23" s="1"/>
      <c r="L23" s="1"/>
      <c r="M23" s="1"/>
      <c r="N23" s="1"/>
      <c r="O23" s="1"/>
      <c r="P23" s="1"/>
      <c r="Q23" s="1"/>
      <c r="R23" s="1"/>
    </row>
    <row r="24" spans="1:18">
      <c r="A24" s="1"/>
      <c r="B24" s="2"/>
      <c r="C24" s="1"/>
      <c r="D24" s="1"/>
      <c r="E24" s="1"/>
      <c r="F24" s="1"/>
      <c r="G24" s="1"/>
      <c r="H24" s="1"/>
      <c r="I24" s="1"/>
      <c r="J24" s="1"/>
      <c r="K24" s="1"/>
      <c r="L24" s="1"/>
      <c r="M24" s="1"/>
      <c r="N24" s="1"/>
      <c r="O24" s="1"/>
      <c r="P24" s="1"/>
      <c r="Q24" s="1"/>
      <c r="R24" s="1"/>
    </row>
    <row r="25" spans="1:18">
      <c r="A25" s="1"/>
      <c r="B25" s="2"/>
      <c r="C25" s="1"/>
      <c r="D25" s="1"/>
      <c r="E25" s="1"/>
      <c r="F25" s="1"/>
      <c r="G25" s="1"/>
      <c r="H25" s="1"/>
      <c r="I25" s="1"/>
      <c r="J25" s="1"/>
      <c r="K25" s="1"/>
      <c r="L25" s="1"/>
      <c r="M25" s="1"/>
      <c r="N25" s="1"/>
      <c r="O25" s="1"/>
      <c r="P25" s="1"/>
      <c r="Q25" s="1"/>
      <c r="R25" s="1"/>
    </row>
    <row r="26" spans="1:18">
      <c r="A26" s="1"/>
      <c r="B26" s="2"/>
      <c r="C26" s="1"/>
      <c r="D26" s="1"/>
      <c r="E26" s="1"/>
      <c r="F26" s="1"/>
      <c r="G26" s="1"/>
      <c r="H26" s="1"/>
      <c r="I26" s="1"/>
      <c r="J26" s="1"/>
      <c r="K26" s="1"/>
      <c r="L26" s="1"/>
      <c r="M26" s="1"/>
      <c r="N26" s="1"/>
      <c r="O26" s="1"/>
      <c r="P26" s="1"/>
      <c r="Q26" s="1"/>
      <c r="R26" s="1"/>
    </row>
    <row r="27" spans="1:18">
      <c r="A27" s="1"/>
      <c r="B27" s="2"/>
      <c r="C27" s="1"/>
      <c r="D27" s="1"/>
      <c r="E27" s="1"/>
      <c r="F27" s="1"/>
      <c r="G27" s="1"/>
      <c r="H27" s="1"/>
      <c r="I27" s="1"/>
      <c r="J27" s="1"/>
      <c r="K27" s="1"/>
      <c r="L27" s="1"/>
      <c r="M27" s="1"/>
      <c r="N27" s="1"/>
      <c r="O27" s="1"/>
      <c r="P27" s="1"/>
      <c r="Q27" s="1"/>
      <c r="R27" s="1"/>
    </row>
    <row r="28" spans="1:18">
      <c r="A28" s="1"/>
      <c r="B28" s="2"/>
      <c r="C28" s="1"/>
      <c r="D28" s="1"/>
      <c r="E28" s="1"/>
      <c r="F28" s="1"/>
      <c r="G28" s="1"/>
      <c r="H28" s="1"/>
      <c r="I28" s="1"/>
      <c r="J28" s="1"/>
      <c r="K28" s="1"/>
      <c r="L28" s="1"/>
      <c r="M28" s="1"/>
      <c r="N28" s="1"/>
      <c r="O28" s="1"/>
      <c r="P28" s="1"/>
      <c r="Q28" s="1"/>
      <c r="R28" s="1"/>
    </row>
    <row r="29" spans="1:18">
      <c r="A29" s="1"/>
      <c r="B29" s="2"/>
      <c r="C29" s="1"/>
      <c r="D29" s="1"/>
      <c r="E29" s="1"/>
      <c r="F29" s="1"/>
      <c r="G29" s="1"/>
      <c r="H29" s="1"/>
      <c r="I29" s="1"/>
      <c r="J29" s="1"/>
      <c r="K29" s="1"/>
      <c r="L29" s="1"/>
      <c r="M29" s="1"/>
      <c r="N29" s="1"/>
      <c r="O29" s="1"/>
      <c r="P29" s="1"/>
      <c r="Q29" s="1"/>
      <c r="R29" s="1"/>
    </row>
    <row r="30" spans="1:18">
      <c r="A30" s="1"/>
      <c r="B30" s="2"/>
      <c r="C30" s="1"/>
      <c r="D30" s="1"/>
      <c r="E30" s="1"/>
      <c r="F30" s="1"/>
      <c r="G30" s="1"/>
      <c r="H30" s="1"/>
      <c r="I30" s="1"/>
      <c r="J30" s="1"/>
      <c r="K30" s="1"/>
      <c r="L30" s="1"/>
      <c r="M30" s="1"/>
      <c r="N30" s="1"/>
      <c r="O30" s="1"/>
      <c r="P30" s="1"/>
      <c r="Q30" s="1"/>
      <c r="R30" s="1"/>
    </row>
    <row r="31" spans="1:18">
      <c r="A31" s="1"/>
      <c r="B31" s="2"/>
      <c r="C31" s="1"/>
      <c r="D31" s="1"/>
      <c r="E31" s="1"/>
      <c r="F31" s="1"/>
      <c r="G31" s="1"/>
      <c r="H31" s="1"/>
      <c r="I31" s="1"/>
      <c r="J31" s="1"/>
      <c r="K31" s="1"/>
      <c r="L31" s="1"/>
      <c r="M31" s="1"/>
      <c r="N31" s="1"/>
      <c r="O31" s="1"/>
      <c r="P31" s="1"/>
      <c r="Q31" s="1"/>
      <c r="R31" s="1"/>
    </row>
  </sheetData>
  <mergeCells count="1">
    <mergeCell ref="F1:K1"/>
  </mergeCells>
  <pageMargins left="0.7" right="0.7" top="0.75" bottom="0.75" header="0.3" footer="0.3"/>
  <pageSetup orientation="portrait" r:id="rId1"/>
  <drawing r:id="rId2"/>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373D0-2243-4E4B-8C05-3C277F3EFD69}">
  <sheetPr codeName="Sheet2"/>
  <dimension ref="D7:I19"/>
  <sheetViews>
    <sheetView zoomScale="56" workbookViewId="0"/>
  </sheetViews>
  <sheetFormatPr defaultRowHeight="14.5"/>
  <cols>
    <col min="4" max="4" width="8.1796875" bestFit="1" customWidth="1"/>
    <col min="5" max="5" width="14.08984375" bestFit="1" customWidth="1"/>
    <col min="6" max="6" width="19.1796875" bestFit="1" customWidth="1"/>
    <col min="7" max="7" width="21.26953125" bestFit="1" customWidth="1"/>
    <col min="8" max="8" width="22.36328125" bestFit="1" customWidth="1"/>
    <col min="9" max="9" width="15" bestFit="1" customWidth="1"/>
  </cols>
  <sheetData>
    <row r="7" spans="4:9">
      <c r="F7" s="4"/>
      <c r="G7" s="4"/>
      <c r="H7" s="4"/>
      <c r="I7" s="4"/>
    </row>
    <row r="8" spans="4:9" ht="17">
      <c r="D8" s="5"/>
      <c r="E8" s="6" t="s">
        <v>2</v>
      </c>
      <c r="F8" s="7">
        <f>SUM(Table1[[#All],[OPENING BAL]])</f>
        <v>14803</v>
      </c>
      <c r="G8" s="7">
        <f>SUM(Table1[[#All],[PURCHASE BAL]])</f>
        <v>307334</v>
      </c>
      <c r="H8" s="7">
        <f>SUM(Table1[[#All],[SALES BALANCE]])</f>
        <v>291333</v>
      </c>
      <c r="I8" s="7">
        <f>SUM(Table1[[#All],[BALANCE]])</f>
        <v>30804</v>
      </c>
    </row>
    <row r="9" spans="4:9">
      <c r="F9" s="4"/>
      <c r="G9" s="4"/>
      <c r="H9" s="4"/>
      <c r="I9" s="4"/>
    </row>
    <row r="10" spans="4:9" ht="38">
      <c r="D10" s="50" t="s">
        <v>3</v>
      </c>
      <c r="E10" s="50"/>
      <c r="F10" s="50"/>
      <c r="G10" s="50"/>
      <c r="H10" s="50"/>
      <c r="I10" s="50"/>
    </row>
    <row r="11" spans="4:9">
      <c r="D11" s="43" t="s">
        <v>4</v>
      </c>
      <c r="E11" s="44" t="s">
        <v>5</v>
      </c>
      <c r="F11" s="44" t="s">
        <v>6</v>
      </c>
      <c r="G11" s="44" t="s">
        <v>7</v>
      </c>
      <c r="H11" s="44" t="s">
        <v>8</v>
      </c>
      <c r="I11" s="45" t="s">
        <v>9</v>
      </c>
    </row>
    <row r="12" spans="4:9">
      <c r="D12" s="41">
        <v>1</v>
      </c>
      <c r="E12" s="17" t="s">
        <v>10</v>
      </c>
      <c r="F12" s="18">
        <v>150</v>
      </c>
      <c r="G12" s="18">
        <f>purchdetail!B16</f>
        <v>98030</v>
      </c>
      <c r="H12" s="18">
        <f>sales_detail!B15</f>
        <v>88030</v>
      </c>
      <c r="I12" s="42">
        <f>Table1[[#This Row],[OPENING BAL]]+Table1[[#This Row],[PURCHASE BAL]]-Table1[[#This Row],[SALES BALANCE]]</f>
        <v>10150</v>
      </c>
    </row>
    <row r="13" spans="4:9">
      <c r="D13" s="41">
        <v>2</v>
      </c>
      <c r="E13" s="17" t="s">
        <v>11</v>
      </c>
      <c r="F13" s="18">
        <v>200</v>
      </c>
      <c r="G13" s="18">
        <f>purchdetail!B17</f>
        <v>20</v>
      </c>
      <c r="H13" s="18">
        <f>sales_detail!B16</f>
        <v>80</v>
      </c>
      <c r="I13" s="42">
        <f>Table1[[#This Row],[OPENING BAL]]+Table1[[#This Row],[PURCHASE BAL]]-Table1[[#This Row],[SALES BALANCE]]</f>
        <v>140</v>
      </c>
    </row>
    <row r="14" spans="4:9">
      <c r="D14" s="41">
        <v>3</v>
      </c>
      <c r="E14" s="17" t="s">
        <v>12</v>
      </c>
      <c r="F14" s="18">
        <v>8120</v>
      </c>
      <c r="G14" s="18">
        <f>purchdetail!B18</f>
        <v>100044</v>
      </c>
      <c r="H14" s="18">
        <f>sales_detail!B17</f>
        <v>103248</v>
      </c>
      <c r="I14" s="42">
        <f>Table1[[#This Row],[OPENING BAL]]+Table1[[#This Row],[PURCHASE BAL]]-Table1[[#This Row],[SALES BALANCE]]</f>
        <v>4916</v>
      </c>
    </row>
    <row r="15" spans="4:9">
      <c r="D15" s="41">
        <v>4</v>
      </c>
      <c r="E15" s="17" t="s">
        <v>13</v>
      </c>
      <c r="F15" s="18">
        <v>5000</v>
      </c>
      <c r="G15" s="18">
        <f>purchdetail!B19</f>
        <v>99</v>
      </c>
      <c r="H15" s="18">
        <f>sales_detail!B18</f>
        <v>88</v>
      </c>
      <c r="I15" s="42">
        <f>Table1[[#This Row],[OPENING BAL]]+Table1[[#This Row],[PURCHASE BAL]]-Table1[[#This Row],[SALES BALANCE]]</f>
        <v>5011</v>
      </c>
    </row>
    <row r="16" spans="4:9">
      <c r="D16" s="41">
        <v>5</v>
      </c>
      <c r="E16" s="17" t="s">
        <v>14</v>
      </c>
      <c r="F16" s="18">
        <v>100</v>
      </c>
      <c r="G16" s="18">
        <f>purchdetail!B20</f>
        <v>21</v>
      </c>
      <c r="H16" s="18">
        <f>sales_detail!B19</f>
        <v>22</v>
      </c>
      <c r="I16" s="42">
        <f>Table1[[#This Row],[OPENING BAL]]+Table1[[#This Row],[PURCHASE BAL]]-Table1[[#This Row],[SALES BALANCE]]</f>
        <v>99</v>
      </c>
    </row>
    <row r="17" spans="4:9">
      <c r="D17" s="40">
        <v>6</v>
      </c>
      <c r="E17" s="8" t="s">
        <v>26</v>
      </c>
      <c r="F17" s="9">
        <v>122</v>
      </c>
      <c r="G17" s="9">
        <f>purchdetail!B21</f>
        <v>7</v>
      </c>
      <c r="H17" s="9">
        <f>sales_detail!B20</f>
        <v>0</v>
      </c>
      <c r="I17" s="46">
        <f>Table1[[#This Row],[OPENING BAL]]+Table1[[#This Row],[PURCHASE BAL]]-Table1[[#This Row],[SALES BALANCE]]</f>
        <v>129</v>
      </c>
    </row>
    <row r="18" spans="4:9">
      <c r="D18" s="40">
        <v>7</v>
      </c>
      <c r="E18" s="8" t="s">
        <v>27</v>
      </c>
      <c r="F18" s="9">
        <v>111</v>
      </c>
      <c r="G18" s="9">
        <f>purchdetail!B22</f>
        <v>109112</v>
      </c>
      <c r="H18" s="9">
        <f>sales_detail!B21</f>
        <v>99065</v>
      </c>
      <c r="I18" s="46">
        <f>Table1[[#This Row],[OPENING BAL]]+Table1[[#This Row],[PURCHASE BAL]]-Table1[[#This Row],[SALES BALANCE]]</f>
        <v>10158</v>
      </c>
    </row>
    <row r="19" spans="4:9">
      <c r="D19" s="40">
        <v>8</v>
      </c>
      <c r="E19" s="8" t="s">
        <v>30</v>
      </c>
      <c r="F19" s="9">
        <v>1000</v>
      </c>
      <c r="G19" s="9">
        <f>purchdetail!B23</f>
        <v>1</v>
      </c>
      <c r="H19" s="9">
        <f>sales_detail!B22</f>
        <v>800</v>
      </c>
      <c r="I19" s="46">
        <f>Table1[[#This Row],[OPENING BAL]]+Table1[[#This Row],[PURCHASE BAL]]-Table1[[#This Row],[SALES BALANCE]]</f>
        <v>201</v>
      </c>
    </row>
  </sheetData>
  <mergeCells count="1">
    <mergeCell ref="D10:I10"/>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FAA97-52DF-42C8-A35B-519BC6FE8FF3}">
  <sheetPr codeName="Sheet3"/>
  <dimension ref="A6:N26"/>
  <sheetViews>
    <sheetView zoomScale="47" zoomScaleNormal="100" workbookViewId="0">
      <selection activeCell="B15" sqref="B15"/>
    </sheetView>
  </sheetViews>
  <sheetFormatPr defaultRowHeight="14.5"/>
  <cols>
    <col min="5" max="5" width="11.36328125" bestFit="1" customWidth="1"/>
    <col min="6" max="6" width="10.08984375" bestFit="1" customWidth="1"/>
    <col min="7" max="7" width="10.36328125" bestFit="1" customWidth="1"/>
    <col min="8" max="8" width="10.08984375" bestFit="1" customWidth="1"/>
    <col min="9" max="9" width="9.6328125" bestFit="1" customWidth="1"/>
    <col min="10" max="10" width="12.6328125" bestFit="1" customWidth="1"/>
  </cols>
  <sheetData>
    <row r="6" spans="1:14" ht="38">
      <c r="E6" s="51" t="s">
        <v>15</v>
      </c>
      <c r="F6" s="51"/>
      <c r="G6" s="51"/>
      <c r="H6" s="51"/>
      <c r="I6" s="51"/>
      <c r="J6" s="51"/>
    </row>
    <row r="7" spans="1:14">
      <c r="E7" s="10" t="s">
        <v>16</v>
      </c>
      <c r="F7" s="10" t="s">
        <v>17</v>
      </c>
      <c r="G7" s="10" t="s">
        <v>18</v>
      </c>
      <c r="H7" s="10" t="s">
        <v>19</v>
      </c>
      <c r="I7" s="10" t="s">
        <v>20</v>
      </c>
      <c r="J7" s="10" t="s">
        <v>21</v>
      </c>
    </row>
    <row r="8" spans="1:14">
      <c r="E8" s="19"/>
      <c r="F8" s="19"/>
      <c r="G8" s="19"/>
      <c r="H8" s="19"/>
      <c r="I8" s="19"/>
      <c r="J8" s="19"/>
    </row>
    <row r="9" spans="1:14">
      <c r="E9" s="17">
        <v>17</v>
      </c>
      <c r="F9" s="17">
        <v>45460.762440162034</v>
      </c>
      <c r="G9" s="17" t="s">
        <v>14</v>
      </c>
      <c r="H9" s="17">
        <v>22</v>
      </c>
      <c r="I9" s="17">
        <v>9</v>
      </c>
      <c r="J9" s="17">
        <v>198</v>
      </c>
    </row>
    <row r="10" spans="1:14">
      <c r="E10" s="17">
        <v>16</v>
      </c>
      <c r="F10" s="17">
        <v>45460.758048958334</v>
      </c>
      <c r="G10" s="17" t="s">
        <v>27</v>
      </c>
      <c r="H10" s="17">
        <v>99000</v>
      </c>
      <c r="I10" s="17">
        <v>99</v>
      </c>
      <c r="J10" s="17">
        <v>9801000</v>
      </c>
    </row>
    <row r="11" spans="1:14">
      <c r="E11" s="17">
        <v>15</v>
      </c>
      <c r="F11" s="17">
        <v>45460.757748263888</v>
      </c>
      <c r="G11" s="17" t="s">
        <v>12</v>
      </c>
      <c r="H11" s="17">
        <v>100000</v>
      </c>
      <c r="I11" s="17">
        <v>100</v>
      </c>
      <c r="J11" s="17">
        <v>10000000</v>
      </c>
      <c r="N11">
        <v>17</v>
      </c>
    </row>
    <row r="12" spans="1:14">
      <c r="E12" s="17">
        <v>14</v>
      </c>
      <c r="F12" s="17">
        <v>45460.757329282409</v>
      </c>
      <c r="G12" s="17" t="s">
        <v>10</v>
      </c>
      <c r="H12" s="17">
        <v>88000</v>
      </c>
      <c r="I12" s="17">
        <v>90</v>
      </c>
      <c r="J12" s="17">
        <v>7920000</v>
      </c>
      <c r="N12">
        <v>45460.762440162034</v>
      </c>
    </row>
    <row r="13" spans="1:14">
      <c r="E13" s="16">
        <v>13</v>
      </c>
      <c r="F13" s="16">
        <v>45460.755362268515</v>
      </c>
      <c r="G13" s="16" t="s">
        <v>13</v>
      </c>
      <c r="H13" s="16">
        <v>88</v>
      </c>
      <c r="I13" s="16">
        <v>999</v>
      </c>
      <c r="J13" s="16">
        <v>87912</v>
      </c>
      <c r="N13" t="s">
        <v>14</v>
      </c>
    </row>
    <row r="14" spans="1:14">
      <c r="A14" s="47" t="s">
        <v>28</v>
      </c>
      <c r="B14" s="47"/>
      <c r="E14" s="16">
        <v>12</v>
      </c>
      <c r="F14" s="16">
        <v>45460.747309606479</v>
      </c>
      <c r="G14" s="16" t="s">
        <v>30</v>
      </c>
      <c r="H14" s="16">
        <v>800</v>
      </c>
      <c r="I14" s="16">
        <v>99</v>
      </c>
      <c r="J14" s="16">
        <v>79200</v>
      </c>
      <c r="N14">
        <v>22</v>
      </c>
    </row>
    <row r="15" spans="1:14">
      <c r="A15" s="47" t="str" cm="1">
        <f t="array" ref="A15:A22">items</f>
        <v>Keyboard</v>
      </c>
      <c r="B15" s="47">
        <f>SUMIF(Table2[[#All],[Items]],A15,Table2[[#All],[Qty]])</f>
        <v>88030</v>
      </c>
      <c r="E15" s="16">
        <v>11</v>
      </c>
      <c r="F15" s="16">
        <v>45460.724970833333</v>
      </c>
      <c r="G15" s="16" t="s">
        <v>12</v>
      </c>
      <c r="H15" s="16">
        <v>111</v>
      </c>
      <c r="I15" s="16">
        <v>11</v>
      </c>
      <c r="J15" s="16">
        <v>1221</v>
      </c>
      <c r="N15">
        <v>9</v>
      </c>
    </row>
    <row r="16" spans="1:14">
      <c r="A16" s="47" t="str">
        <v>Mouse</v>
      </c>
      <c r="B16" s="47">
        <f>SUMIF(Table2[[#All],[Items]],A16,Table2[[#All],[Qty]])</f>
        <v>80</v>
      </c>
      <c r="E16" s="16">
        <v>10</v>
      </c>
      <c r="F16" s="16">
        <v>45457.792722916667</v>
      </c>
      <c r="G16" s="16" t="s">
        <v>27</v>
      </c>
      <c r="H16" s="16">
        <v>65</v>
      </c>
      <c r="I16" s="16">
        <v>858</v>
      </c>
      <c r="J16" s="16">
        <v>55770</v>
      </c>
      <c r="N16">
        <v>198</v>
      </c>
    </row>
    <row r="17" spans="1:10">
      <c r="A17" s="47" t="str">
        <v>Monitor</v>
      </c>
      <c r="B17" s="47">
        <f>SUMIF(Table2[[#All],[Items]],A17,Table2[[#All],[Qty]])</f>
        <v>103248</v>
      </c>
      <c r="E17" s="16">
        <v>9</v>
      </c>
      <c r="F17" s="16">
        <v>45439.913464814817</v>
      </c>
      <c r="G17" s="16" t="s">
        <v>10</v>
      </c>
      <c r="H17" s="16">
        <v>10</v>
      </c>
      <c r="I17" s="16">
        <v>3</v>
      </c>
      <c r="J17" s="16">
        <v>30</v>
      </c>
    </row>
    <row r="18" spans="1:10">
      <c r="A18" s="47" t="str">
        <v>Laptop</v>
      </c>
      <c r="B18" s="47">
        <f>SUMIF(Table2[[#All],[Items]],A18,Table2[[#All],[Qty]])</f>
        <v>88</v>
      </c>
      <c r="E18" s="16">
        <v>8</v>
      </c>
      <c r="F18" s="16">
        <v>45439.438441666665</v>
      </c>
      <c r="G18" s="16"/>
      <c r="H18" s="16"/>
      <c r="I18" s="16"/>
      <c r="J18" s="16">
        <v>0</v>
      </c>
    </row>
    <row r="19" spans="1:10">
      <c r="A19" s="47" t="str">
        <v>Hard Disk</v>
      </c>
      <c r="B19" s="47">
        <f>SUMIF(Table2[[#All],[Items]],A19,Table2[[#All],[Qty]])</f>
        <v>22</v>
      </c>
      <c r="E19" s="16">
        <v>7</v>
      </c>
      <c r="F19" s="16">
        <v>45439.430662847219</v>
      </c>
      <c r="G19" s="16" t="s">
        <v>12</v>
      </c>
      <c r="H19" s="16">
        <v>3131</v>
      </c>
      <c r="I19" s="16">
        <v>5515</v>
      </c>
      <c r="J19" s="16">
        <v>17267465</v>
      </c>
    </row>
    <row r="20" spans="1:10">
      <c r="A20" s="47" t="str">
        <v>COPY</v>
      </c>
      <c r="B20" s="47">
        <f>SUMIF(Table2[[#All],[Items]],A20,Table2[[#All],[Qty]])</f>
        <v>0</v>
      </c>
      <c r="E20" s="16">
        <v>6</v>
      </c>
      <c r="F20" s="16">
        <v>45439.430426620369</v>
      </c>
      <c r="G20" s="16" t="s">
        <v>12</v>
      </c>
      <c r="H20" s="16">
        <v>6</v>
      </c>
      <c r="I20" s="16">
        <v>9</v>
      </c>
      <c r="J20" s="16">
        <v>54</v>
      </c>
    </row>
    <row r="21" spans="1:10">
      <c r="A21" s="47" t="str">
        <v>Pen</v>
      </c>
      <c r="B21" s="47">
        <f>SUMIF(Table2[[#All],[Items]],A21,Table2[[#All],[Qty]])</f>
        <v>99065</v>
      </c>
      <c r="E21" s="16">
        <v>5</v>
      </c>
      <c r="F21" s="16">
        <v>45439.428936226854</v>
      </c>
      <c r="G21" s="16" t="s">
        <v>11</v>
      </c>
      <c r="H21" s="16">
        <v>1</v>
      </c>
      <c r="I21" s="16">
        <v>2</v>
      </c>
      <c r="J21" s="16">
        <v>2</v>
      </c>
    </row>
    <row r="22" spans="1:10">
      <c r="A22" s="47" t="str">
        <v>lizard</v>
      </c>
      <c r="B22" s="47">
        <f>SUMIF(Table2[[#All],[Items]],A22,Table2[[#All],[Qty]])</f>
        <v>800</v>
      </c>
      <c r="E22" s="16">
        <v>4</v>
      </c>
      <c r="F22" s="16">
        <v>45439.427335416665</v>
      </c>
      <c r="G22" s="16" t="s">
        <v>11</v>
      </c>
      <c r="H22" s="16">
        <v>1</v>
      </c>
      <c r="I22" s="16">
        <v>2</v>
      </c>
      <c r="J22" s="16">
        <v>2</v>
      </c>
    </row>
    <row r="23" spans="1:10">
      <c r="B23">
        <f>SUMIF(Table2[[#All],[Items]],A23,Table2[[#All],[Qty]])</f>
        <v>0</v>
      </c>
      <c r="E23" s="16">
        <v>3</v>
      </c>
      <c r="F23" s="16">
        <v>45439.416853356481</v>
      </c>
      <c r="G23" s="16" t="s">
        <v>11</v>
      </c>
      <c r="H23" s="16">
        <v>78</v>
      </c>
      <c r="I23" s="16">
        <v>87</v>
      </c>
      <c r="J23" s="16">
        <v>6786</v>
      </c>
    </row>
    <row r="24" spans="1:10">
      <c r="B24">
        <f>SUMIF(Table2[[#All],[Items]],A24,Table2[[#All],[Qty]])</f>
        <v>0</v>
      </c>
      <c r="E24" s="24">
        <v>2</v>
      </c>
      <c r="F24" s="16">
        <v>45439.414694675928</v>
      </c>
      <c r="G24" s="16" t="s">
        <v>10</v>
      </c>
      <c r="H24" s="16">
        <v>10</v>
      </c>
      <c r="I24" s="16">
        <v>10</v>
      </c>
      <c r="J24" s="25">
        <v>100</v>
      </c>
    </row>
    <row r="25" spans="1:10">
      <c r="B25">
        <f>SUMIF(Table2[[#All],[Items]],A25,Table2[[#All],[Qty]])</f>
        <v>0</v>
      </c>
      <c r="E25" s="22">
        <v>1</v>
      </c>
      <c r="F25" s="23">
        <v>45439.411853124999</v>
      </c>
      <c r="G25" s="23" t="s">
        <v>10</v>
      </c>
      <c r="H25" s="23">
        <v>10</v>
      </c>
      <c r="I25" s="23">
        <v>10</v>
      </c>
      <c r="J25" s="21">
        <v>100</v>
      </c>
    </row>
    <row r="26" spans="1:10">
      <c r="B26">
        <f>SUMIF(Table2[[#All],[Items]],A26,Table2[[#All],[Qty]])</f>
        <v>0</v>
      </c>
    </row>
  </sheetData>
  <mergeCells count="1">
    <mergeCell ref="E6:J6"/>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4C831-2ABC-4835-AA84-AE0634657AB6}">
  <sheetPr codeName="Sheet4"/>
  <dimension ref="A6:N37"/>
  <sheetViews>
    <sheetView zoomScale="45" workbookViewId="0">
      <selection activeCell="F8" sqref="F8"/>
    </sheetView>
  </sheetViews>
  <sheetFormatPr defaultRowHeight="14.5"/>
  <cols>
    <col min="6" max="6" width="9.36328125" customWidth="1"/>
    <col min="7" max="7" width="16.1796875" customWidth="1"/>
    <col min="8" max="8" width="11.1796875" customWidth="1"/>
    <col min="9" max="9" width="8.81640625" customWidth="1"/>
    <col min="10" max="10" width="10.36328125" customWidth="1"/>
    <col min="11" max="11" width="47.6328125" customWidth="1"/>
  </cols>
  <sheetData>
    <row r="6" spans="1:14" ht="38">
      <c r="F6" s="51" t="s">
        <v>22</v>
      </c>
      <c r="G6" s="51"/>
      <c r="H6" s="51"/>
      <c r="I6" s="51"/>
      <c r="J6" s="51"/>
      <c r="K6" s="51"/>
    </row>
    <row r="7" spans="1:14">
      <c r="F7" s="35" t="s">
        <v>16</v>
      </c>
      <c r="G7" s="36" t="s">
        <v>17</v>
      </c>
      <c r="H7" s="36" t="s">
        <v>18</v>
      </c>
      <c r="I7" s="36" t="s">
        <v>19</v>
      </c>
      <c r="J7" s="36" t="s">
        <v>20</v>
      </c>
      <c r="K7" s="36" t="s">
        <v>21</v>
      </c>
    </row>
    <row r="8" spans="1:14">
      <c r="F8" s="48"/>
      <c r="G8" s="48"/>
      <c r="H8" s="48"/>
      <c r="I8" s="48"/>
      <c r="J8" s="48"/>
      <c r="K8" s="48"/>
    </row>
    <row r="9" spans="1:14">
      <c r="F9">
        <v>20</v>
      </c>
      <c r="G9">
        <v>45460.795670486114</v>
      </c>
      <c r="H9" t="s">
        <v>30</v>
      </c>
      <c r="I9">
        <v>1</v>
      </c>
      <c r="J9">
        <v>100</v>
      </c>
      <c r="K9">
        <v>100</v>
      </c>
    </row>
    <row r="10" spans="1:14">
      <c r="F10">
        <v>19</v>
      </c>
      <c r="G10">
        <v>45460.763331365742</v>
      </c>
      <c r="H10" t="s">
        <v>26</v>
      </c>
      <c r="I10">
        <v>7</v>
      </c>
      <c r="J10">
        <v>9</v>
      </c>
      <c r="K10">
        <v>63</v>
      </c>
      <c r="N10">
        <v>20</v>
      </c>
    </row>
    <row r="11" spans="1:14">
      <c r="F11">
        <v>18</v>
      </c>
      <c r="G11">
        <v>45460.756962731481</v>
      </c>
      <c r="H11" t="s">
        <v>27</v>
      </c>
      <c r="I11">
        <v>99000</v>
      </c>
      <c r="J11">
        <v>10</v>
      </c>
      <c r="K11">
        <v>990000</v>
      </c>
      <c r="N11">
        <v>45460.795670486114</v>
      </c>
    </row>
    <row r="12" spans="1:14">
      <c r="F12">
        <v>17</v>
      </c>
      <c r="G12">
        <v>45460.756421759259</v>
      </c>
      <c r="H12" t="s">
        <v>10</v>
      </c>
      <c r="I12">
        <v>98000</v>
      </c>
      <c r="J12">
        <v>980</v>
      </c>
      <c r="K12">
        <v>96040000</v>
      </c>
      <c r="N12" t="s">
        <v>30</v>
      </c>
    </row>
    <row r="13" spans="1:14">
      <c r="F13">
        <v>16</v>
      </c>
      <c r="G13">
        <v>45460.755040972224</v>
      </c>
      <c r="H13" t="s">
        <v>13</v>
      </c>
      <c r="I13">
        <v>99</v>
      </c>
      <c r="J13">
        <v>99</v>
      </c>
      <c r="K13">
        <v>9801</v>
      </c>
      <c r="N13">
        <v>1</v>
      </c>
    </row>
    <row r="14" spans="1:14">
      <c r="F14">
        <v>15</v>
      </c>
      <c r="G14">
        <v>45460.750173032407</v>
      </c>
      <c r="H14" t="s">
        <v>12</v>
      </c>
      <c r="I14">
        <v>99999</v>
      </c>
      <c r="J14">
        <v>99</v>
      </c>
      <c r="K14">
        <v>9899901</v>
      </c>
      <c r="N14">
        <v>100</v>
      </c>
    </row>
    <row r="15" spans="1:14">
      <c r="A15" s="47" t="s">
        <v>29</v>
      </c>
      <c r="B15" s="47"/>
      <c r="F15">
        <v>14</v>
      </c>
      <c r="G15">
        <v>45460.747720949075</v>
      </c>
      <c r="H15" t="s">
        <v>27</v>
      </c>
      <c r="I15">
        <v>10000</v>
      </c>
      <c r="J15">
        <v>9</v>
      </c>
      <c r="K15">
        <v>90000</v>
      </c>
      <c r="N15">
        <v>100</v>
      </c>
    </row>
    <row r="16" spans="1:14">
      <c r="A16" s="47" t="str" cm="1">
        <f t="array" ref="A16:A23">items</f>
        <v>Keyboard</v>
      </c>
      <c r="B16" s="47">
        <f>SUMIF(Table4[[#All],[Items]],A16,Table4[[#All],[Qty]])</f>
        <v>98030</v>
      </c>
      <c r="F16">
        <v>13</v>
      </c>
      <c r="G16">
        <v>45460.728038541667</v>
      </c>
      <c r="H16" t="s">
        <v>27</v>
      </c>
      <c r="I16">
        <v>112</v>
      </c>
      <c r="J16">
        <v>456</v>
      </c>
      <c r="K16">
        <v>51072</v>
      </c>
      <c r="N16">
        <v>63</v>
      </c>
    </row>
    <row r="17" spans="1:11">
      <c r="A17" s="47" t="str">
        <v>Mouse</v>
      </c>
      <c r="B17" s="47">
        <f>SUMIF(Table4[[#All],[Items]],A17,Table4[[#All],[Qty]])</f>
        <v>20</v>
      </c>
      <c r="F17">
        <v>12</v>
      </c>
      <c r="G17">
        <v>45460.727225462964</v>
      </c>
      <c r="H17" t="s">
        <v>12</v>
      </c>
      <c r="I17">
        <v>11</v>
      </c>
      <c r="J17">
        <v>11</v>
      </c>
      <c r="K17">
        <v>121</v>
      </c>
    </row>
    <row r="18" spans="1:11">
      <c r="A18" s="47" t="str">
        <v>Monitor</v>
      </c>
      <c r="B18" s="47">
        <f>SUMIF(Table4[[#All],[Items]],A18,Table4[[#All],[Qty]])</f>
        <v>100044</v>
      </c>
      <c r="F18">
        <v>11</v>
      </c>
      <c r="G18">
        <v>45460.725511111108</v>
      </c>
      <c r="H18" t="s">
        <v>14</v>
      </c>
      <c r="I18">
        <v>11</v>
      </c>
      <c r="J18">
        <v>11</v>
      </c>
      <c r="K18">
        <v>121</v>
      </c>
    </row>
    <row r="19" spans="1:11">
      <c r="A19" s="47" t="str">
        <v>Laptop</v>
      </c>
      <c r="B19" s="47">
        <f>SUMIF(Table4[[#All],[Items]],A19,Table4[[#All],[Qty]])</f>
        <v>99</v>
      </c>
      <c r="F19">
        <v>10</v>
      </c>
      <c r="G19">
        <v>45457.794681018517</v>
      </c>
      <c r="H19" t="s">
        <v>11</v>
      </c>
      <c r="I19">
        <v>10</v>
      </c>
      <c r="J19">
        <v>10</v>
      </c>
    </row>
    <row r="20" spans="1:11">
      <c r="A20" s="47" t="str">
        <v>Hard Disk</v>
      </c>
      <c r="B20" s="47">
        <f>SUMIF(Table4[[#All],[Items]],A20,Table4[[#All],[Qty]])</f>
        <v>21</v>
      </c>
      <c r="F20">
        <v>9</v>
      </c>
      <c r="G20">
        <v>45457.794117824073</v>
      </c>
      <c r="H20" t="s">
        <v>10</v>
      </c>
      <c r="I20">
        <v>10</v>
      </c>
      <c r="J20">
        <v>10</v>
      </c>
    </row>
    <row r="21" spans="1:11">
      <c r="A21" s="47" t="str">
        <v>COPY</v>
      </c>
      <c r="B21" s="47">
        <f>SUMIF(Table4[[#All],[Items]],A21,Table4[[#All],[Qty]])</f>
        <v>7</v>
      </c>
      <c r="F21">
        <v>8</v>
      </c>
      <c r="G21">
        <v>45457.793630671295</v>
      </c>
      <c r="H21" t="s">
        <v>10</v>
      </c>
      <c r="I21">
        <v>10</v>
      </c>
      <c r="J21">
        <v>10</v>
      </c>
    </row>
    <row r="22" spans="1:11">
      <c r="A22" s="47" t="str">
        <v>Pen</v>
      </c>
      <c r="B22" s="47">
        <f>SUMIF(Table4[[#All],[Items]],A22,Table4[[#All],[Qty]])</f>
        <v>109112</v>
      </c>
      <c r="F22">
        <v>7</v>
      </c>
      <c r="G22">
        <v>45457.79327858796</v>
      </c>
      <c r="H22" t="s">
        <v>10</v>
      </c>
      <c r="I22">
        <v>10</v>
      </c>
      <c r="J22">
        <v>10</v>
      </c>
    </row>
    <row r="23" spans="1:11">
      <c r="A23" s="47" t="str">
        <v>lizard</v>
      </c>
      <c r="B23" s="47">
        <f>SUMIF(Table4[[#All],[Items]],A23,Table4[[#All],[Qty]])</f>
        <v>1</v>
      </c>
      <c r="F23">
        <v>6</v>
      </c>
      <c r="G23">
        <v>45439.91419236111</v>
      </c>
      <c r="H23" t="s">
        <v>12</v>
      </c>
      <c r="I23">
        <v>10</v>
      </c>
      <c r="J23">
        <v>10</v>
      </c>
    </row>
    <row r="24" spans="1:11">
      <c r="F24">
        <v>5</v>
      </c>
      <c r="G24" s="39">
        <v>45439.912853125003</v>
      </c>
      <c r="H24" t="s">
        <v>14</v>
      </c>
      <c r="I24">
        <v>10</v>
      </c>
      <c r="J24">
        <v>10</v>
      </c>
      <c r="K24">
        <v>100</v>
      </c>
    </row>
    <row r="25" spans="1:11">
      <c r="F25">
        <v>4</v>
      </c>
      <c r="G25" s="39">
        <v>45439.912357175926</v>
      </c>
      <c r="H25" t="s">
        <v>12</v>
      </c>
      <c r="I25">
        <v>10</v>
      </c>
      <c r="J25">
        <v>10</v>
      </c>
      <c r="K25">
        <v>100</v>
      </c>
    </row>
    <row r="26" spans="1:11">
      <c r="F26">
        <v>3</v>
      </c>
      <c r="G26" s="39">
        <v>45439.910821874997</v>
      </c>
      <c r="H26" t="s">
        <v>11</v>
      </c>
      <c r="I26">
        <v>10</v>
      </c>
      <c r="J26">
        <v>10</v>
      </c>
      <c r="K26">
        <v>100</v>
      </c>
    </row>
    <row r="27" spans="1:11">
      <c r="F27" s="32">
        <v>2</v>
      </c>
      <c r="G27" s="29">
        <v>45439.907015509256</v>
      </c>
      <c r="H27" s="30" t="s">
        <v>12</v>
      </c>
      <c r="I27" s="30">
        <v>1</v>
      </c>
      <c r="J27" s="30">
        <v>23</v>
      </c>
      <c r="K27" s="34">
        <v>23</v>
      </c>
    </row>
    <row r="28" spans="1:11">
      <c r="F28" s="33">
        <v>2</v>
      </c>
      <c r="G28" s="27">
        <v>45439.9041005787</v>
      </c>
      <c r="H28" s="28" t="s">
        <v>12</v>
      </c>
      <c r="I28" s="28">
        <v>1</v>
      </c>
      <c r="J28" s="28">
        <v>23</v>
      </c>
      <c r="K28" s="28">
        <v>23</v>
      </c>
    </row>
    <row r="29" spans="1:11">
      <c r="F29" s="37">
        <v>1</v>
      </c>
      <c r="G29" s="38">
        <v>45439.419223611112</v>
      </c>
      <c r="H29" s="38" t="s">
        <v>12</v>
      </c>
      <c r="I29" s="38">
        <v>12</v>
      </c>
      <c r="J29" s="38">
        <v>12</v>
      </c>
      <c r="K29" s="38">
        <v>144</v>
      </c>
    </row>
    <row r="37" spans="11:11">
      <c r="K37" t="s">
        <v>25</v>
      </c>
    </row>
  </sheetData>
  <mergeCells count="1">
    <mergeCell ref="F6:K6"/>
  </mergeCell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46027CB-85E2-41EA-9612-10F314DB10E5}">
          <x14:formula1>
            <xm:f>Stock_details!$E$12:$E$16</xm:f>
          </x14:formula1>
          <xm:sqref>H27:H28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5057E-B86E-434A-B0B2-6FA4F965FD3C}">
  <sheetPr codeName="Sheet5"/>
  <dimension ref="D5:M23"/>
  <sheetViews>
    <sheetView zoomScale="78" workbookViewId="0">
      <selection activeCell="I6" sqref="I6"/>
    </sheetView>
  </sheetViews>
  <sheetFormatPr defaultRowHeight="14.5"/>
  <cols>
    <col min="8" max="8" width="15.7265625" bestFit="1" customWidth="1"/>
  </cols>
  <sheetData>
    <row r="5" spans="4:13">
      <c r="D5" s="11"/>
      <c r="E5" s="11"/>
      <c r="F5" s="11"/>
      <c r="G5" s="11"/>
      <c r="H5" s="11"/>
      <c r="I5" s="11"/>
      <c r="J5" s="11"/>
    </row>
    <row r="6" spans="4:13">
      <c r="D6" s="11"/>
      <c r="E6" s="11"/>
      <c r="F6" s="11"/>
      <c r="G6" s="11"/>
      <c r="H6" s="11"/>
      <c r="I6" s="11"/>
      <c r="J6" s="11"/>
    </row>
    <row r="7" spans="4:13" ht="30.5">
      <c r="D7" s="11"/>
      <c r="E7" s="52" t="s">
        <v>23</v>
      </c>
      <c r="F7" s="52"/>
      <c r="G7" s="52"/>
      <c r="H7" s="52"/>
      <c r="I7" s="52"/>
      <c r="J7" s="11"/>
    </row>
    <row r="8" spans="4:13">
      <c r="D8" s="11"/>
      <c r="E8" s="11"/>
      <c r="F8" s="11"/>
      <c r="G8" s="11"/>
      <c r="H8" s="11"/>
      <c r="I8" s="11"/>
      <c r="J8" s="11"/>
    </row>
    <row r="9" spans="4:13" ht="17">
      <c r="D9" s="11"/>
      <c r="E9" s="11"/>
      <c r="F9" s="12" t="s">
        <v>16</v>
      </c>
      <c r="G9" s="11"/>
      <c r="H9" s="26">
        <f>MAX(Table2[[#All],[Bill No]])+1</f>
        <v>18</v>
      </c>
      <c r="I9" s="11"/>
      <c r="J9" s="11"/>
    </row>
    <row r="10" spans="4:13" ht="17">
      <c r="D10" s="11"/>
      <c r="E10" s="11"/>
      <c r="F10" s="12"/>
      <c r="G10" s="11"/>
      <c r="H10" s="11"/>
      <c r="I10" s="11"/>
      <c r="J10" s="11"/>
    </row>
    <row r="11" spans="4:13" ht="17">
      <c r="D11" s="11"/>
      <c r="E11" s="11"/>
      <c r="F11" s="12" t="s">
        <v>17</v>
      </c>
      <c r="G11" s="11"/>
      <c r="H11" s="31">
        <f ca="1">NOW()</f>
        <v>45460.802242245372</v>
      </c>
      <c r="I11" s="11"/>
      <c r="J11" s="11"/>
    </row>
    <row r="12" spans="4:13" ht="17">
      <c r="D12" s="11"/>
      <c r="E12" s="11"/>
      <c r="F12" s="12"/>
      <c r="G12" s="11"/>
      <c r="H12" s="20"/>
      <c r="I12" s="11"/>
      <c r="J12" s="11"/>
      <c r="M12" s="15"/>
    </row>
    <row r="13" spans="4:13" ht="17">
      <c r="D13" s="11"/>
      <c r="E13" s="11"/>
      <c r="F13" s="12" t="s">
        <v>18</v>
      </c>
      <c r="G13" s="11"/>
      <c r="H13" s="13"/>
      <c r="I13" s="11"/>
      <c r="J13" s="11"/>
    </row>
    <row r="14" spans="4:13" ht="17">
      <c r="D14" s="11"/>
      <c r="E14" s="11"/>
      <c r="F14" s="12"/>
      <c r="G14" s="11"/>
      <c r="H14" s="11"/>
      <c r="I14" s="11"/>
      <c r="J14" s="11"/>
    </row>
    <row r="15" spans="4:13" ht="17">
      <c r="D15" s="11"/>
      <c r="E15" s="11"/>
      <c r="F15" s="12" t="s">
        <v>19</v>
      </c>
      <c r="G15" s="11"/>
      <c r="H15" s="13"/>
      <c r="I15" s="11"/>
      <c r="J15" s="11"/>
      <c r="K15" s="15"/>
    </row>
    <row r="16" spans="4:13" ht="17">
      <c r="D16" s="11"/>
      <c r="E16" s="11"/>
      <c r="F16" s="12"/>
      <c r="G16" s="11"/>
      <c r="H16" s="11"/>
      <c r="I16" s="11"/>
      <c r="J16" s="11"/>
    </row>
    <row r="17" spans="4:10" ht="17">
      <c r="D17" s="11"/>
      <c r="E17" s="11"/>
      <c r="F17" s="12" t="s">
        <v>20</v>
      </c>
      <c r="G17" s="11"/>
      <c r="H17" s="13"/>
      <c r="I17" s="11"/>
      <c r="J17" s="11"/>
    </row>
    <row r="18" spans="4:10" ht="17">
      <c r="D18" s="11"/>
      <c r="E18" s="11"/>
      <c r="F18" s="12"/>
      <c r="G18" s="11"/>
      <c r="H18" s="11"/>
      <c r="I18" s="11"/>
      <c r="J18" s="11"/>
    </row>
    <row r="19" spans="4:10" ht="17">
      <c r="D19" s="11"/>
      <c r="E19" s="11"/>
      <c r="F19" s="12" t="s">
        <v>21</v>
      </c>
      <c r="G19" s="11"/>
      <c r="H19" s="14">
        <f>H15*H17</f>
        <v>0</v>
      </c>
      <c r="I19" s="11"/>
      <c r="J19" s="11"/>
    </row>
    <row r="20" spans="4:10">
      <c r="D20" s="11"/>
      <c r="E20" s="11"/>
      <c r="F20" s="11"/>
      <c r="G20" s="11"/>
      <c r="H20" s="11"/>
      <c r="I20" s="11"/>
      <c r="J20" s="11"/>
    </row>
    <row r="21" spans="4:10">
      <c r="D21" s="11"/>
      <c r="E21" s="11"/>
      <c r="F21" s="11"/>
      <c r="G21" s="11"/>
      <c r="H21" s="11"/>
      <c r="I21" s="11"/>
      <c r="J21" s="11"/>
    </row>
    <row r="22" spans="4:10">
      <c r="D22" s="11"/>
      <c r="E22" s="11"/>
      <c r="F22" s="11"/>
      <c r="G22" s="11"/>
      <c r="H22" s="11"/>
      <c r="I22" s="11"/>
      <c r="J22" s="11"/>
    </row>
    <row r="23" spans="4:10">
      <c r="D23" s="11"/>
      <c r="E23" s="11"/>
      <c r="F23" s="11"/>
      <c r="G23" s="11"/>
      <c r="H23" s="11"/>
      <c r="I23" s="11"/>
      <c r="J23" s="11"/>
    </row>
  </sheetData>
  <mergeCells count="1">
    <mergeCell ref="E7:I7"/>
  </mergeCells>
  <dataValidations count="1">
    <dataValidation type="list" allowBlank="1" showInputMessage="1" showErrorMessage="1" sqref="H13" xr:uid="{DC9CA268-F7FC-4181-9445-91C7D4FF2597}">
      <formula1>items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575BB-AD29-4B5C-A86A-5ED75382937F}">
  <sheetPr codeName="Sheet6"/>
  <dimension ref="F6:N24"/>
  <sheetViews>
    <sheetView topLeftCell="A5" zoomScale="81" workbookViewId="0">
      <selection activeCell="J14" sqref="J14"/>
    </sheetView>
  </sheetViews>
  <sheetFormatPr defaultRowHeight="14.5"/>
  <cols>
    <col min="8" max="8" width="9.54296875" bestFit="1" customWidth="1"/>
    <col min="10" max="10" width="13.453125" bestFit="1" customWidth="1"/>
  </cols>
  <sheetData>
    <row r="6" spans="6:14">
      <c r="F6" s="11"/>
      <c r="G6" s="11"/>
      <c r="H6" s="11"/>
      <c r="I6" s="11"/>
      <c r="J6" s="11"/>
      <c r="K6" s="11"/>
      <c r="L6" s="11"/>
    </row>
    <row r="7" spans="6:14">
      <c r="F7" s="11"/>
      <c r="G7" s="11"/>
      <c r="H7" s="11"/>
      <c r="I7" s="11"/>
      <c r="J7" s="11"/>
      <c r="K7" s="11"/>
      <c r="L7" s="11"/>
    </row>
    <row r="8" spans="6:14" ht="26">
      <c r="F8" s="11"/>
      <c r="G8" s="53" t="s">
        <v>24</v>
      </c>
      <c r="H8" s="53"/>
      <c r="I8" s="53"/>
      <c r="J8" s="53"/>
      <c r="K8" s="53"/>
      <c r="L8" s="11"/>
    </row>
    <row r="9" spans="6:14">
      <c r="F9" s="11"/>
      <c r="G9" s="11"/>
      <c r="H9" s="11"/>
      <c r="I9" s="11"/>
      <c r="J9" s="11"/>
      <c r="K9" s="11"/>
      <c r="L9" s="11"/>
    </row>
    <row r="10" spans="6:14" ht="17">
      <c r="F10" s="11"/>
      <c r="G10" s="11"/>
      <c r="H10" s="12" t="s">
        <v>16</v>
      </c>
      <c r="I10" s="11"/>
      <c r="J10" s="26">
        <f>MAX(Table4[[#All],[Bill No]])+1</f>
        <v>21</v>
      </c>
      <c r="K10" s="11"/>
      <c r="L10" s="11"/>
    </row>
    <row r="11" spans="6:14" ht="17">
      <c r="F11" s="11"/>
      <c r="G11" s="11"/>
      <c r="H11" s="12"/>
      <c r="I11" s="11"/>
      <c r="J11" s="11"/>
      <c r="K11" s="11"/>
      <c r="L11" s="11"/>
    </row>
    <row r="12" spans="6:14" ht="17">
      <c r="F12" s="11"/>
      <c r="G12" s="11"/>
      <c r="H12" s="12" t="s">
        <v>17</v>
      </c>
      <c r="I12" s="11"/>
      <c r="J12" s="31">
        <f ca="1">NOW()</f>
        <v>45460.802242245372</v>
      </c>
      <c r="K12" s="11"/>
      <c r="L12" s="11"/>
    </row>
    <row r="13" spans="6:14" ht="17">
      <c r="F13" s="11"/>
      <c r="G13" s="11"/>
      <c r="H13" s="12"/>
      <c r="I13" s="11"/>
      <c r="J13" s="11"/>
      <c r="K13" s="11"/>
      <c r="L13" s="11"/>
    </row>
    <row r="14" spans="6:14" ht="17">
      <c r="F14" s="11"/>
      <c r="G14" s="11"/>
      <c r="H14" s="12" t="s">
        <v>18</v>
      </c>
      <c r="I14" s="11"/>
      <c r="J14" s="13"/>
      <c r="K14" s="11"/>
      <c r="L14" s="11"/>
    </row>
    <row r="15" spans="6:14" ht="17">
      <c r="F15" s="11"/>
      <c r="G15" s="11"/>
      <c r="H15" s="12"/>
      <c r="I15" s="11"/>
      <c r="J15" s="11"/>
      <c r="K15" s="11"/>
      <c r="L15" s="11"/>
      <c r="N15" s="15"/>
    </row>
    <row r="16" spans="6:14" ht="17">
      <c r="F16" s="11"/>
      <c r="G16" s="11"/>
      <c r="H16" s="12" t="s">
        <v>19</v>
      </c>
      <c r="I16" s="11"/>
      <c r="J16" s="13"/>
      <c r="K16" s="11"/>
      <c r="L16" s="11"/>
    </row>
    <row r="17" spans="6:12" ht="17">
      <c r="F17" s="11"/>
      <c r="G17" s="11"/>
      <c r="H17" s="12"/>
      <c r="I17" s="11"/>
      <c r="J17" s="11"/>
      <c r="K17" s="11"/>
      <c r="L17" s="11"/>
    </row>
    <row r="18" spans="6:12" ht="17">
      <c r="F18" s="11"/>
      <c r="G18" s="11"/>
      <c r="H18" s="12" t="s">
        <v>20</v>
      </c>
      <c r="I18" s="11"/>
      <c r="J18" s="13"/>
      <c r="K18" s="11"/>
      <c r="L18" s="11"/>
    </row>
    <row r="19" spans="6:12" ht="17">
      <c r="F19" s="11"/>
      <c r="G19" s="11"/>
      <c r="H19" s="12"/>
      <c r="I19" s="11"/>
      <c r="J19" s="11"/>
      <c r="K19" s="11"/>
      <c r="L19" s="11"/>
    </row>
    <row r="20" spans="6:12" ht="17">
      <c r="F20" s="11"/>
      <c r="G20" s="11"/>
      <c r="H20" s="12" t="s">
        <v>21</v>
      </c>
      <c r="I20" s="11"/>
      <c r="J20" s="14"/>
      <c r="K20" s="11"/>
      <c r="L20" s="11"/>
    </row>
    <row r="21" spans="6:12">
      <c r="F21" s="11"/>
      <c r="G21" s="11"/>
      <c r="H21" s="11"/>
      <c r="I21" s="11"/>
      <c r="J21" s="11"/>
      <c r="K21" s="11"/>
      <c r="L21" s="11"/>
    </row>
    <row r="22" spans="6:12">
      <c r="F22" s="11"/>
      <c r="G22" s="11"/>
      <c r="H22" s="11"/>
      <c r="I22" s="11"/>
      <c r="J22" s="11"/>
      <c r="K22" s="11"/>
      <c r="L22" s="11"/>
    </row>
    <row r="23" spans="6:12">
      <c r="F23" s="11"/>
      <c r="G23" s="11"/>
      <c r="H23" s="11"/>
      <c r="I23" s="11"/>
      <c r="J23" s="11"/>
      <c r="K23" s="11"/>
      <c r="L23" s="11"/>
    </row>
    <row r="24" spans="6:12">
      <c r="F24" s="11"/>
      <c r="G24" s="11"/>
      <c r="H24" s="11"/>
      <c r="I24" s="11"/>
      <c r="J24" s="11"/>
      <c r="K24" s="11"/>
      <c r="L24" s="11"/>
    </row>
  </sheetData>
  <mergeCells count="1">
    <mergeCell ref="G8:K8"/>
  </mergeCells>
  <dataValidations count="1">
    <dataValidation type="list" allowBlank="1" showInputMessage="1" showErrorMessage="1" sqref="J14" xr:uid="{014C0634-0619-424C-A4C3-F82D3AA5C031}">
      <formula1>items</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Sheet1</vt:lpstr>
      <vt:lpstr>Stock_details</vt:lpstr>
      <vt:lpstr>sales_detail</vt:lpstr>
      <vt:lpstr>purchdetail</vt:lpstr>
      <vt:lpstr>sales entry</vt:lpstr>
      <vt:lpstr>purchase entry</vt:lpstr>
      <vt:lpstr>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Grishma Ayer</dc:creator>
  <cp:lastModifiedBy>Grishma Ayer</cp:lastModifiedBy>
  <dcterms:created xsi:type="dcterms:W3CDTF">2024-05-26T16:07:03Z</dcterms:created>
  <dcterms:modified xsi:type="dcterms:W3CDTF">2024-06-17T13:32:59Z</dcterms:modified>
</cp:coreProperties>
</file>